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_Lookups" sheetId="1" state="visible" r:id="rId1"/>
    <sheet xmlns:r="http://schemas.openxmlformats.org/officeDocument/2006/relationships" name="Invoice_Header" sheetId="2" state="visible" r:id="rId2"/>
    <sheet xmlns:r="http://schemas.openxmlformats.org/officeDocument/2006/relationships" name="Invoice_Line_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color rgb="001F2937"/>
      <sz val="10"/>
    </font>
    <font>
      <name val="Calibri"/>
      <b val="1"/>
      <color rgb="001E3A8A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164" fontId="3" fillId="0" borderId="1" pivotButton="0" quotePrefix="0" xfId="0"/>
    <xf numFmtId="49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4" fontId="4" fillId="0" borderId="1" pivotButton="0" quotePrefix="0" xfId="0"/>
    <xf numFmtId="2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1" customWidth="1" min="1" max="1"/>
    <col width="32" customWidth="1" min="2" max="2"/>
    <col width="21" customWidth="1" min="3" max="3"/>
    <col width="22" customWidth="1" min="4" max="4"/>
    <col width="22" customWidth="1" min="5" max="5"/>
    <col width="26" customWidth="1" min="6" max="6"/>
    <col width="18" customWidth="1" min="7" max="7"/>
    <col width="14" customWidth="1" min="8" max="8"/>
    <col width="14" customWidth="1" min="9" max="9"/>
    <col width="17" customWidth="1" min="10" max="10"/>
  </cols>
  <sheetData>
    <row r="1" ht="28" customHeight="1">
      <c r="A1" s="1" t="inlineStr">
        <is>
          <t>Invoice_Type_Code</t>
        </is>
      </c>
      <c r="B1" s="1" t="inlineStr">
        <is>
          <t>Invoice_Type_Desc</t>
        </is>
      </c>
      <c r="C1" s="1" t="inlineStr">
        <is>
          <t>VAT_Category_Code</t>
        </is>
      </c>
      <c r="D1" s="1" t="inlineStr">
        <is>
          <t>VAT_Category_Desc</t>
        </is>
      </c>
      <c r="E1" s="1" t="inlineStr">
        <is>
          <t>Payment_Means_Code</t>
        </is>
      </c>
      <c r="F1" s="1" t="inlineStr">
        <is>
          <t>Payment_Means_Desc</t>
        </is>
      </c>
      <c r="G1" s="1" t="inlineStr">
        <is>
          <t>Emirate_Name</t>
        </is>
      </c>
      <c r="H1" s="1" t="inlineStr">
        <is>
          <t>UOM_Code</t>
        </is>
      </c>
      <c r="I1" s="1" t="inlineStr">
        <is>
          <t>UOM_Desc</t>
        </is>
      </c>
      <c r="J1" s="1" t="inlineStr">
        <is>
          <t>Currency_Code</t>
        </is>
      </c>
    </row>
    <row r="2">
      <c r="A2" t="inlineStr">
        <is>
          <t>380</t>
        </is>
      </c>
      <c r="B2" t="inlineStr">
        <is>
          <t>Commercial Tax Invoice (B2B)</t>
        </is>
      </c>
      <c r="C2" t="inlineStr">
        <is>
          <t>S</t>
        </is>
      </c>
      <c r="D2" t="inlineStr">
        <is>
          <t>Standard Rate (5%)</t>
        </is>
      </c>
      <c r="E2" t="inlineStr">
        <is>
          <t>10</t>
        </is>
      </c>
      <c r="F2" t="inlineStr">
        <is>
          <t>Cash</t>
        </is>
      </c>
      <c r="G2" t="inlineStr">
        <is>
          <t>Dubai</t>
        </is>
      </c>
      <c r="H2" t="inlineStr">
        <is>
          <t>PCE</t>
        </is>
      </c>
      <c r="I2" t="inlineStr">
        <is>
          <t>Piece</t>
        </is>
      </c>
      <c r="J2" t="inlineStr">
        <is>
          <t>AED</t>
        </is>
      </c>
    </row>
    <row r="3">
      <c r="A3" t="inlineStr">
        <is>
          <t>388</t>
        </is>
      </c>
      <c r="B3" t="inlineStr">
        <is>
          <t>Simplified Tax Invoice (B2C)</t>
        </is>
      </c>
      <c r="C3" t="inlineStr">
        <is>
          <t>Z</t>
        </is>
      </c>
      <c r="D3" t="inlineStr">
        <is>
          <t>Zero Rated (0%)</t>
        </is>
      </c>
      <c r="E3" t="inlineStr">
        <is>
          <t>30</t>
        </is>
      </c>
      <c r="F3" t="inlineStr">
        <is>
          <t>Credit Transfer / Bank</t>
        </is>
      </c>
      <c r="G3" t="inlineStr">
        <is>
          <t>Abu Dhabi</t>
        </is>
      </c>
      <c r="H3" t="inlineStr">
        <is>
          <t>HUR</t>
        </is>
      </c>
      <c r="I3" t="inlineStr">
        <is>
          <t>Hours</t>
        </is>
      </c>
      <c r="J3" t="inlineStr">
        <is>
          <t>USD</t>
        </is>
      </c>
    </row>
    <row r="4">
      <c r="A4" t="inlineStr">
        <is>
          <t>381</t>
        </is>
      </c>
      <c r="B4" t="inlineStr">
        <is>
          <t>Credit Note</t>
        </is>
      </c>
      <c r="C4" t="inlineStr">
        <is>
          <t>E</t>
        </is>
      </c>
      <c r="D4" t="inlineStr">
        <is>
          <t>Exempt</t>
        </is>
      </c>
      <c r="E4" t="inlineStr">
        <is>
          <t>42</t>
        </is>
      </c>
      <c r="F4" t="inlineStr">
        <is>
          <t>Bank Cheque</t>
        </is>
      </c>
      <c r="G4" t="inlineStr">
        <is>
          <t>Sharjah</t>
        </is>
      </c>
      <c r="H4" t="inlineStr">
        <is>
          <t>KGM</t>
        </is>
      </c>
      <c r="I4" t="inlineStr">
        <is>
          <t>Kilograms</t>
        </is>
      </c>
      <c r="J4" t="inlineStr">
        <is>
          <t>EUR</t>
        </is>
      </c>
    </row>
    <row r="5">
      <c r="A5" t="inlineStr">
        <is>
          <t>383</t>
        </is>
      </c>
      <c r="B5" t="inlineStr">
        <is>
          <t>Debit Note</t>
        </is>
      </c>
      <c r="C5" t="inlineStr">
        <is>
          <t>O</t>
        </is>
      </c>
      <c r="D5" t="inlineStr">
        <is>
          <t>Out of Scope</t>
        </is>
      </c>
      <c r="E5" t="inlineStr">
        <is>
          <t>48</t>
        </is>
      </c>
      <c r="F5" t="inlineStr">
        <is>
          <t>Payment Card</t>
        </is>
      </c>
      <c r="G5" t="inlineStr">
        <is>
          <t>Ajman</t>
        </is>
      </c>
      <c r="H5" t="inlineStr">
        <is>
          <t>DAY</t>
        </is>
      </c>
      <c r="I5" t="inlineStr">
        <is>
          <t>Days</t>
        </is>
      </c>
      <c r="J5" t="inlineStr">
        <is>
          <t>GBP</t>
        </is>
      </c>
    </row>
    <row r="6">
      <c r="G6" t="inlineStr">
        <is>
          <t>Ras Al Khaimah</t>
        </is>
      </c>
      <c r="H6" t="inlineStr">
        <is>
          <t>MON</t>
        </is>
      </c>
      <c r="I6" t="inlineStr">
        <is>
          <t>Months</t>
        </is>
      </c>
      <c r="J6" t="inlineStr">
        <is>
          <t>SAR</t>
        </is>
      </c>
    </row>
    <row r="7">
      <c r="G7" t="inlineStr">
        <is>
          <t>Fujairah</t>
        </is>
      </c>
    </row>
    <row r="8">
      <c r="G8" t="inlineStr">
        <is>
          <t>Umm Al Quwain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21" customWidth="1" min="5" max="5"/>
    <col width="18" customWidth="1" min="6" max="6"/>
    <col width="19" customWidth="1" min="7" max="7"/>
    <col width="28" customWidth="1" min="8" max="8"/>
    <col width="19" customWidth="1" min="9" max="9"/>
    <col width="23" customWidth="1" min="10" max="10"/>
    <col width="17" customWidth="1" min="11" max="11"/>
    <col width="16" customWidth="1" min="12" max="12"/>
    <col width="24" customWidth="1" min="13" max="13"/>
    <col width="17" customWidth="1" min="14" max="14"/>
  </cols>
  <sheetData>
    <row r="1" ht="28" customHeight="1">
      <c r="A1" s="2" t="inlineStr">
        <is>
          <t>Invoice Number</t>
        </is>
      </c>
      <c r="B1" s="2" t="inlineStr">
        <is>
          <t>Invoice Type</t>
        </is>
      </c>
      <c r="C1" s="2" t="inlineStr">
        <is>
          <t>Issue Date</t>
        </is>
      </c>
      <c r="D1" s="2" t="inlineStr">
        <is>
          <t>Issue Time</t>
        </is>
      </c>
      <c r="E1" s="2" t="inlineStr">
        <is>
          <t>Document Currency</t>
        </is>
      </c>
      <c r="F1" s="2" t="inlineStr">
        <is>
          <t>FX Rate to AED</t>
        </is>
      </c>
      <c r="G1" s="2" t="inlineStr">
        <is>
          <t>Supplier TRN</t>
        </is>
      </c>
      <c r="H1" s="2" t="inlineStr">
        <is>
          <t>Supplier Name</t>
        </is>
      </c>
      <c r="I1" s="2" t="inlineStr">
        <is>
          <t>Buyer TRN</t>
        </is>
      </c>
      <c r="J1" s="2" t="inlineStr">
        <is>
          <t>Buyer Name</t>
        </is>
      </c>
      <c r="K1" s="2" t="inlineStr">
        <is>
          <t>Buyer Emirate</t>
        </is>
      </c>
      <c r="L1" s="2" t="inlineStr">
        <is>
          <t>PO Reference</t>
        </is>
      </c>
      <c r="M1" s="2" t="inlineStr">
        <is>
          <t>Preceding Invoice ID</t>
        </is>
      </c>
      <c r="N1" s="2" t="inlineStr">
        <is>
          <t>Payment Means</t>
        </is>
      </c>
    </row>
    <row r="2">
      <c r="A2" s="3" t="inlineStr">
        <is>
          <t>INV-2026-00891</t>
        </is>
      </c>
      <c r="B2" s="3" t="inlineStr">
        <is>
          <t>380</t>
        </is>
      </c>
      <c r="C2" s="4" t="inlineStr">
        <is>
          <t>2026-08-09</t>
        </is>
      </c>
      <c r="D2" s="4" t="inlineStr">
        <is>
          <t>14:30:00</t>
        </is>
      </c>
      <c r="E2" s="3" t="inlineStr">
        <is>
          <t>AED</t>
        </is>
      </c>
      <c r="F2" s="5" t="n">
        <v>1</v>
      </c>
      <c r="G2" s="6" t="inlineStr">
        <is>
          <t>100293847500003</t>
        </is>
      </c>
      <c r="H2" s="3" t="inlineStr">
        <is>
          <t>Al-Bahar Enterprises LLC</t>
        </is>
      </c>
      <c r="I2" s="6" t="inlineStr">
        <is>
          <t>100384759200003</t>
        </is>
      </c>
      <c r="J2" s="3" t="inlineStr">
        <is>
          <t>Emirates Trading Co</t>
        </is>
      </c>
      <c r="K2" s="3" t="inlineStr">
        <is>
          <t>Dubai</t>
        </is>
      </c>
      <c r="L2" s="3" t="inlineStr">
        <is>
          <t>PO-992211</t>
        </is>
      </c>
      <c r="M2" s="3" t="inlineStr"/>
      <c r="N2" s="3" t="inlineStr">
        <is>
          <t>30</t>
        </is>
      </c>
    </row>
    <row r="3">
      <c r="A3" s="3" t="inlineStr">
        <is>
          <t>INV-2026-00892</t>
        </is>
      </c>
      <c r="B3" s="3" t="inlineStr">
        <is>
          <t>388</t>
        </is>
      </c>
      <c r="C3" s="4" t="inlineStr">
        <is>
          <t>2026-08-09</t>
        </is>
      </c>
      <c r="D3" s="4" t="inlineStr">
        <is>
          <t>15:00:00</t>
        </is>
      </c>
      <c r="E3" s="3" t="inlineStr">
        <is>
          <t>AED</t>
        </is>
      </c>
      <c r="F3" s="5" t="n">
        <v>1</v>
      </c>
      <c r="G3" s="6" t="inlineStr">
        <is>
          <t>100293847500003</t>
        </is>
      </c>
      <c r="H3" s="3" t="inlineStr">
        <is>
          <t>Al-Bahar Enterprises LLC</t>
        </is>
      </c>
      <c r="I3" s="6" t="inlineStr"/>
      <c r="J3" s="3" t="inlineStr">
        <is>
          <t>Individual Customer</t>
        </is>
      </c>
      <c r="K3" s="3" t="inlineStr">
        <is>
          <t>Abu Dhabi</t>
        </is>
      </c>
      <c r="L3" s="3" t="inlineStr"/>
      <c r="M3" s="3" t="inlineStr"/>
      <c r="N3" s="3" t="inlineStr">
        <is>
          <t>10</t>
        </is>
      </c>
    </row>
  </sheetData>
  <dataValidations count="4">
    <dataValidation sqref="B2:B500" showDropDown="0" showInputMessage="0" showErrorMessage="0" allowBlank="1" type="list">
      <formula1>Ref_Lookups!$A$2:$A$5</formula1>
    </dataValidation>
    <dataValidation sqref="E2:E500" showDropDown="0" showInputMessage="0" showErrorMessage="0" allowBlank="1" type="list">
      <formula1>Ref_Lookups!$J$2:$J$6</formula1>
    </dataValidation>
    <dataValidation sqref="K2:K500" showDropDown="0" showInputMessage="0" showErrorMessage="0" allowBlank="1" type="list">
      <formula1>Ref_Lookups!$G$2:$G$8</formula1>
    </dataValidation>
    <dataValidation sqref="N2:N500" showDropDown="0" showInputMessage="0" showErrorMessage="0" allowBlank="1" type="list">
      <formula1>Ref_Lookups!$E$2:$E$5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9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9" customWidth="1" min="3" max="3"/>
    <col width="14" customWidth="1" min="4" max="4"/>
    <col width="14" customWidth="1" min="5" max="5"/>
    <col width="14" customWidth="1" min="6" max="6"/>
    <col width="20" customWidth="1" min="7" max="7"/>
    <col width="17" customWidth="1" min="8" max="8"/>
    <col width="16" customWidth="1" min="9" max="9"/>
    <col width="16" customWidth="1" min="10" max="10"/>
    <col width="19" customWidth="1" min="11" max="11"/>
    <col width="19" customWidth="1" min="12" max="12"/>
    <col width="20" customWidth="1" min="13" max="13"/>
  </cols>
  <sheetData>
    <row r="1" ht="28" customHeight="1">
      <c r="A1" s="2" t="inlineStr">
        <is>
          <t>Invoice Number</t>
        </is>
      </c>
      <c r="B1" s="2" t="inlineStr">
        <is>
          <t>Line Number</t>
        </is>
      </c>
      <c r="C1" s="2" t="inlineStr">
        <is>
          <t>Item Description</t>
        </is>
      </c>
      <c r="D1" s="2" t="inlineStr">
        <is>
          <t>HS Code</t>
        </is>
      </c>
      <c r="E1" s="2" t="inlineStr">
        <is>
          <t>Quantity</t>
        </is>
      </c>
      <c r="F1" s="2" t="inlineStr">
        <is>
          <t>UOM</t>
        </is>
      </c>
      <c r="G1" s="2" t="inlineStr">
        <is>
          <t>Unit Price (Net)</t>
        </is>
      </c>
      <c r="H1" s="2" t="inlineStr">
        <is>
          <t>Line Discount</t>
        </is>
      </c>
      <c r="I1" s="2" t="inlineStr">
        <is>
          <t>VAT Category</t>
        </is>
      </c>
      <c r="J1" s="2" t="inlineStr">
        <is>
          <t>VAT Rate (%)</t>
        </is>
      </c>
      <c r="K1" s="2" t="inlineStr">
        <is>
          <t>Line Net Amount</t>
        </is>
      </c>
      <c r="L1" s="2" t="inlineStr">
        <is>
          <t>Line VAT Amount</t>
        </is>
      </c>
      <c r="M1" s="2" t="inlineStr">
        <is>
          <t>Line Grand Total</t>
        </is>
      </c>
    </row>
    <row r="2">
      <c r="A2" s="3" t="inlineStr">
        <is>
          <t>INV-2026-00891</t>
        </is>
      </c>
      <c r="B2" s="3" t="n">
        <v>1</v>
      </c>
      <c r="C2" s="3" t="inlineStr">
        <is>
          <t>IT Consulting Services</t>
        </is>
      </c>
      <c r="D2" s="3" t="inlineStr">
        <is>
          <t>8471.30.00</t>
        </is>
      </c>
      <c r="E2" s="7" t="n">
        <v>10</v>
      </c>
      <c r="F2" s="3" t="inlineStr">
        <is>
          <t>HUR</t>
        </is>
      </c>
      <c r="G2" s="7" t="n">
        <v>500</v>
      </c>
      <c r="H2" s="7" t="n">
        <v>50</v>
      </c>
      <c r="I2" s="3" t="inlineStr">
        <is>
          <t>S</t>
        </is>
      </c>
      <c r="J2" s="8">
        <f>IF(I2="S", 5.00, 0.00)</f>
        <v/>
      </c>
      <c r="K2" s="7">
        <f>ROUND((E2*G2)-H2, 2)</f>
        <v/>
      </c>
      <c r="L2" s="7">
        <f>ROUND(K2*(J2/100), 2)</f>
        <v/>
      </c>
      <c r="M2" s="9">
        <f>K2+L2</f>
        <v/>
      </c>
    </row>
    <row r="3">
      <c r="A3" s="3" t="inlineStr">
        <is>
          <t>INV-2026-00891</t>
        </is>
      </c>
      <c r="B3" s="3" t="n">
        <v>2</v>
      </c>
      <c r="C3" s="3" t="inlineStr">
        <is>
          <t>Hardware Software License</t>
        </is>
      </c>
      <c r="D3" s="3" t="inlineStr">
        <is>
          <t>8523.49.00</t>
        </is>
      </c>
      <c r="E3" s="7" t="n">
        <v>2</v>
      </c>
      <c r="F3" s="3" t="inlineStr">
        <is>
          <t>PCE</t>
        </is>
      </c>
      <c r="G3" s="7" t="n">
        <v>1200</v>
      </c>
      <c r="H3" s="7" t="n">
        <v>0</v>
      </c>
      <c r="I3" s="3" t="inlineStr">
        <is>
          <t>S</t>
        </is>
      </c>
      <c r="J3" s="8">
        <f>IF(I3="S", 5.00, 0.00)</f>
        <v/>
      </c>
      <c r="K3" s="7">
        <f>ROUND((E3*G3)-H3, 2)</f>
        <v/>
      </c>
      <c r="L3" s="7">
        <f>ROUND(K3*(J3/100), 2)</f>
        <v/>
      </c>
      <c r="M3" s="9">
        <f>K3+L3</f>
        <v/>
      </c>
    </row>
    <row r="4">
      <c r="A4" s="3" t="inlineStr">
        <is>
          <t>INV-2026-00892</t>
        </is>
      </c>
      <c r="B4" s="3" t="n">
        <v>1</v>
      </c>
      <c r="C4" s="3" t="inlineStr">
        <is>
          <t>Retail Consumer Goods</t>
        </is>
      </c>
      <c r="D4" s="3" t="inlineStr">
        <is>
          <t>3304.99.00</t>
        </is>
      </c>
      <c r="E4" s="7" t="n">
        <v>5</v>
      </c>
      <c r="F4" s="3" t="inlineStr">
        <is>
          <t>PCE</t>
        </is>
      </c>
      <c r="G4" s="7" t="n">
        <v>150</v>
      </c>
      <c r="H4" s="7" t="n">
        <v>0</v>
      </c>
      <c r="I4" s="3" t="inlineStr">
        <is>
          <t>S</t>
        </is>
      </c>
      <c r="J4" s="8">
        <f>IF(I4="S", 5.00, 0.00)</f>
        <v/>
      </c>
      <c r="K4" s="7">
        <f>ROUND((E4*G4)-H4, 2)</f>
        <v/>
      </c>
      <c r="L4" s="7">
        <f>ROUND(K4*(J4/100), 2)</f>
        <v/>
      </c>
      <c r="M4" s="9">
        <f>K4+L4</f>
        <v/>
      </c>
    </row>
    <row r="5">
      <c r="J5" s="10">
        <f>IF(I5="S", 5.00, 0.00)</f>
        <v/>
      </c>
      <c r="K5" s="11">
        <f>IF(E5="","",ROUND((E5*G5)-IF(H5="",0,H5), 2))</f>
        <v/>
      </c>
      <c r="L5" s="11">
        <f>IF(K5="","",ROUND(K5*(J5/100), 2))</f>
        <v/>
      </c>
      <c r="M5" s="11">
        <f>IF(K5="","",K5+L5)</f>
        <v/>
      </c>
    </row>
    <row r="6">
      <c r="J6" s="10">
        <f>IF(I6="S", 5.00, 0.00)</f>
        <v/>
      </c>
      <c r="K6" s="11">
        <f>IF(E6="","",ROUND((E6*G6)-IF(H6="",0,H6), 2))</f>
        <v/>
      </c>
      <c r="L6" s="11">
        <f>IF(K6="","",ROUND(K6*(J6/100), 2))</f>
        <v/>
      </c>
      <c r="M6" s="11">
        <f>IF(K6="","",K6+L6)</f>
        <v/>
      </c>
    </row>
    <row r="7">
      <c r="J7" s="10">
        <f>IF(I7="S", 5.00, 0.00)</f>
        <v/>
      </c>
      <c r="K7" s="11">
        <f>IF(E7="","",ROUND((E7*G7)-IF(H7="",0,H7), 2))</f>
        <v/>
      </c>
      <c r="L7" s="11">
        <f>IF(K7="","",ROUND(K7*(J7/100), 2))</f>
        <v/>
      </c>
      <c r="M7" s="11">
        <f>IF(K7="","",K7+L7)</f>
        <v/>
      </c>
    </row>
    <row r="8">
      <c r="J8" s="10">
        <f>IF(I8="S", 5.00, 0.00)</f>
        <v/>
      </c>
      <c r="K8" s="11">
        <f>IF(E8="","",ROUND((E8*G8)-IF(H8="",0,H8), 2))</f>
        <v/>
      </c>
      <c r="L8" s="11">
        <f>IF(K8="","",ROUND(K8*(J8/100), 2))</f>
        <v/>
      </c>
      <c r="M8" s="11">
        <f>IF(K8="","",K8+L8)</f>
        <v/>
      </c>
    </row>
    <row r="9">
      <c r="J9" s="10">
        <f>IF(I9="S", 5.00, 0.00)</f>
        <v/>
      </c>
      <c r="K9" s="11">
        <f>IF(E9="","",ROUND((E9*G9)-IF(H9="",0,H9), 2))</f>
        <v/>
      </c>
      <c r="L9" s="11">
        <f>IF(K9="","",ROUND(K9*(J9/100), 2))</f>
        <v/>
      </c>
      <c r="M9" s="11">
        <f>IF(K9="","",K9+L9)</f>
        <v/>
      </c>
    </row>
    <row r="10">
      <c r="J10" s="10">
        <f>IF(I10="S", 5.00, 0.00)</f>
        <v/>
      </c>
      <c r="K10" s="11">
        <f>IF(E10="","",ROUND((E10*G10)-IF(H10="",0,H10), 2))</f>
        <v/>
      </c>
      <c r="L10" s="11">
        <f>IF(K10="","",ROUND(K10*(J10/100), 2))</f>
        <v/>
      </c>
      <c r="M10" s="11">
        <f>IF(K10="","",K10+L10)</f>
        <v/>
      </c>
    </row>
    <row r="11">
      <c r="J11" s="10">
        <f>IF(I11="S", 5.00, 0.00)</f>
        <v/>
      </c>
      <c r="K11" s="11">
        <f>IF(E11="","",ROUND((E11*G11)-IF(H11="",0,H11), 2))</f>
        <v/>
      </c>
      <c r="L11" s="11">
        <f>IF(K11="","",ROUND(K11*(J11/100), 2))</f>
        <v/>
      </c>
      <c r="M11" s="11">
        <f>IF(K11="","",K11+L11)</f>
        <v/>
      </c>
    </row>
    <row r="12">
      <c r="J12" s="10">
        <f>IF(I12="S", 5.00, 0.00)</f>
        <v/>
      </c>
      <c r="K12" s="11">
        <f>IF(E12="","",ROUND((E12*G12)-IF(H12="",0,H12), 2))</f>
        <v/>
      </c>
      <c r="L12" s="11">
        <f>IF(K12="","",ROUND(K12*(J12/100), 2))</f>
        <v/>
      </c>
      <c r="M12" s="11">
        <f>IF(K12="","",K12+L12)</f>
        <v/>
      </c>
    </row>
    <row r="13">
      <c r="J13" s="10">
        <f>IF(I13="S", 5.00, 0.00)</f>
        <v/>
      </c>
      <c r="K13" s="11">
        <f>IF(E13="","",ROUND((E13*G13)-IF(H13="",0,H13), 2))</f>
        <v/>
      </c>
      <c r="L13" s="11">
        <f>IF(K13="","",ROUND(K13*(J13/100), 2))</f>
        <v/>
      </c>
      <c r="M13" s="11">
        <f>IF(K13="","",K13+L13)</f>
        <v/>
      </c>
    </row>
    <row r="14">
      <c r="J14" s="10">
        <f>IF(I14="S", 5.00, 0.00)</f>
        <v/>
      </c>
      <c r="K14" s="11">
        <f>IF(E14="","",ROUND((E14*G14)-IF(H14="",0,H14), 2))</f>
        <v/>
      </c>
      <c r="L14" s="11">
        <f>IF(K14="","",ROUND(K14*(J14/100), 2))</f>
        <v/>
      </c>
      <c r="M14" s="11">
        <f>IF(K14="","",K14+L14)</f>
        <v/>
      </c>
    </row>
    <row r="15">
      <c r="J15" s="10">
        <f>IF(I15="S", 5.00, 0.00)</f>
        <v/>
      </c>
      <c r="K15" s="11">
        <f>IF(E15="","",ROUND((E15*G15)-IF(H15="",0,H15), 2))</f>
        <v/>
      </c>
      <c r="L15" s="11">
        <f>IF(K15="","",ROUND(K15*(J15/100), 2))</f>
        <v/>
      </c>
      <c r="M15" s="11">
        <f>IF(K15="","",K15+L15)</f>
        <v/>
      </c>
    </row>
    <row r="16">
      <c r="J16" s="10">
        <f>IF(I16="S", 5.00, 0.00)</f>
        <v/>
      </c>
      <c r="K16" s="11">
        <f>IF(E16="","",ROUND((E16*G16)-IF(H16="",0,H16), 2))</f>
        <v/>
      </c>
      <c r="L16" s="11">
        <f>IF(K16="","",ROUND(K16*(J16/100), 2))</f>
        <v/>
      </c>
      <c r="M16" s="11">
        <f>IF(K16="","",K16+L16)</f>
        <v/>
      </c>
    </row>
    <row r="17">
      <c r="J17" s="10">
        <f>IF(I17="S", 5.00, 0.00)</f>
        <v/>
      </c>
      <c r="K17" s="11">
        <f>IF(E17="","",ROUND((E17*G17)-IF(H17="",0,H17), 2))</f>
        <v/>
      </c>
      <c r="L17" s="11">
        <f>IF(K17="","",ROUND(K17*(J17/100), 2))</f>
        <v/>
      </c>
      <c r="M17" s="11">
        <f>IF(K17="","",K17+L17)</f>
        <v/>
      </c>
    </row>
    <row r="18">
      <c r="J18" s="10">
        <f>IF(I18="S", 5.00, 0.00)</f>
        <v/>
      </c>
      <c r="K18" s="11">
        <f>IF(E18="","",ROUND((E18*G18)-IF(H18="",0,H18), 2))</f>
        <v/>
      </c>
      <c r="L18" s="11">
        <f>IF(K18="","",ROUND(K18*(J18/100), 2))</f>
        <v/>
      </c>
      <c r="M18" s="11">
        <f>IF(K18="","",K18+L18)</f>
        <v/>
      </c>
    </row>
    <row r="19">
      <c r="J19" s="10">
        <f>IF(I19="S", 5.00, 0.00)</f>
        <v/>
      </c>
      <c r="K19" s="11">
        <f>IF(E19="","",ROUND((E19*G19)-IF(H19="",0,H19), 2))</f>
        <v/>
      </c>
      <c r="L19" s="11">
        <f>IF(K19="","",ROUND(K19*(J19/100), 2))</f>
        <v/>
      </c>
      <c r="M19" s="11">
        <f>IF(K19="","",K19+L19)</f>
        <v/>
      </c>
    </row>
    <row r="20">
      <c r="J20" s="10">
        <f>IF(I20="S", 5.00, 0.00)</f>
        <v/>
      </c>
      <c r="K20" s="11">
        <f>IF(E20="","",ROUND((E20*G20)-IF(H20="",0,H20), 2))</f>
        <v/>
      </c>
      <c r="L20" s="11">
        <f>IF(K20="","",ROUND(K20*(J20/100), 2))</f>
        <v/>
      </c>
      <c r="M20" s="11">
        <f>IF(K20="","",K20+L20)</f>
        <v/>
      </c>
    </row>
    <row r="21">
      <c r="J21" s="10">
        <f>IF(I21="S", 5.00, 0.00)</f>
        <v/>
      </c>
      <c r="K21" s="11">
        <f>IF(E21="","",ROUND((E21*G21)-IF(H21="",0,H21), 2))</f>
        <v/>
      </c>
      <c r="L21" s="11">
        <f>IF(K21="","",ROUND(K21*(J21/100), 2))</f>
        <v/>
      </c>
      <c r="M21" s="11">
        <f>IF(K21="","",K21+L21)</f>
        <v/>
      </c>
    </row>
    <row r="22">
      <c r="J22" s="10">
        <f>IF(I22="S", 5.00, 0.00)</f>
        <v/>
      </c>
      <c r="K22" s="11">
        <f>IF(E22="","",ROUND((E22*G22)-IF(H22="",0,H22), 2))</f>
        <v/>
      </c>
      <c r="L22" s="11">
        <f>IF(K22="","",ROUND(K22*(J22/100), 2))</f>
        <v/>
      </c>
      <c r="M22" s="11">
        <f>IF(K22="","",K22+L22)</f>
        <v/>
      </c>
    </row>
    <row r="23">
      <c r="J23" s="10">
        <f>IF(I23="S", 5.00, 0.00)</f>
        <v/>
      </c>
      <c r="K23" s="11">
        <f>IF(E23="","",ROUND((E23*G23)-IF(H23="",0,H23), 2))</f>
        <v/>
      </c>
      <c r="L23" s="11">
        <f>IF(K23="","",ROUND(K23*(J23/100), 2))</f>
        <v/>
      </c>
      <c r="M23" s="11">
        <f>IF(K23="","",K23+L23)</f>
        <v/>
      </c>
    </row>
    <row r="24">
      <c r="J24" s="10">
        <f>IF(I24="S", 5.00, 0.00)</f>
        <v/>
      </c>
      <c r="K24" s="11">
        <f>IF(E24="","",ROUND((E24*G24)-IF(H24="",0,H24), 2))</f>
        <v/>
      </c>
      <c r="L24" s="11">
        <f>IF(K24="","",ROUND(K24*(J24/100), 2))</f>
        <v/>
      </c>
      <c r="M24" s="11">
        <f>IF(K24="","",K24+L24)</f>
        <v/>
      </c>
    </row>
    <row r="25">
      <c r="J25" s="10">
        <f>IF(I25="S", 5.00, 0.00)</f>
        <v/>
      </c>
      <c r="K25" s="11">
        <f>IF(E25="","",ROUND((E25*G25)-IF(H25="",0,H25), 2))</f>
        <v/>
      </c>
      <c r="L25" s="11">
        <f>IF(K25="","",ROUND(K25*(J25/100), 2))</f>
        <v/>
      </c>
      <c r="M25" s="11">
        <f>IF(K25="","",K25+L25)</f>
        <v/>
      </c>
    </row>
    <row r="26">
      <c r="J26" s="10">
        <f>IF(I26="S", 5.00, 0.00)</f>
        <v/>
      </c>
      <c r="K26" s="11">
        <f>IF(E26="","",ROUND((E26*G26)-IF(H26="",0,H26), 2))</f>
        <v/>
      </c>
      <c r="L26" s="11">
        <f>IF(K26="","",ROUND(K26*(J26/100), 2))</f>
        <v/>
      </c>
      <c r="M26" s="11">
        <f>IF(K26="","",K26+L26)</f>
        <v/>
      </c>
    </row>
    <row r="27">
      <c r="J27" s="10">
        <f>IF(I27="S", 5.00, 0.00)</f>
        <v/>
      </c>
      <c r="K27" s="11">
        <f>IF(E27="","",ROUND((E27*G27)-IF(H27="",0,H27), 2))</f>
        <v/>
      </c>
      <c r="L27" s="11">
        <f>IF(K27="","",ROUND(K27*(J27/100), 2))</f>
        <v/>
      </c>
      <c r="M27" s="11">
        <f>IF(K27="","",K27+L27)</f>
        <v/>
      </c>
    </row>
    <row r="28">
      <c r="J28" s="10">
        <f>IF(I28="S", 5.00, 0.00)</f>
        <v/>
      </c>
      <c r="K28" s="11">
        <f>IF(E28="","",ROUND((E28*G28)-IF(H28="",0,H28), 2))</f>
        <v/>
      </c>
      <c r="L28" s="11">
        <f>IF(K28="","",ROUND(K28*(J28/100), 2))</f>
        <v/>
      </c>
      <c r="M28" s="11">
        <f>IF(K28="","",K28+L28)</f>
        <v/>
      </c>
    </row>
    <row r="29">
      <c r="J29" s="10">
        <f>IF(I29="S", 5.00, 0.00)</f>
        <v/>
      </c>
      <c r="K29" s="11">
        <f>IF(E29="","",ROUND((E29*G29)-IF(H29="",0,H29), 2))</f>
        <v/>
      </c>
      <c r="L29" s="11">
        <f>IF(K29="","",ROUND(K29*(J29/100), 2))</f>
        <v/>
      </c>
      <c r="M29" s="11">
        <f>IF(K29="","",K29+L29)</f>
        <v/>
      </c>
    </row>
    <row r="30">
      <c r="J30" s="10">
        <f>IF(I30="S", 5.00, 0.00)</f>
        <v/>
      </c>
      <c r="K30" s="11">
        <f>IF(E30="","",ROUND((E30*G30)-IF(H30="",0,H30), 2))</f>
        <v/>
      </c>
      <c r="L30" s="11">
        <f>IF(K30="","",ROUND(K30*(J30/100), 2))</f>
        <v/>
      </c>
      <c r="M30" s="11">
        <f>IF(K30="","",K30+L30)</f>
        <v/>
      </c>
    </row>
    <row r="31">
      <c r="J31" s="10">
        <f>IF(I31="S", 5.00, 0.00)</f>
        <v/>
      </c>
      <c r="K31" s="11">
        <f>IF(E31="","",ROUND((E31*G31)-IF(H31="",0,H31), 2))</f>
        <v/>
      </c>
      <c r="L31" s="11">
        <f>IF(K31="","",ROUND(K31*(J31/100), 2))</f>
        <v/>
      </c>
      <c r="M31" s="11">
        <f>IF(K31="","",K31+L31)</f>
        <v/>
      </c>
    </row>
    <row r="32">
      <c r="J32" s="10">
        <f>IF(I32="S", 5.00, 0.00)</f>
        <v/>
      </c>
      <c r="K32" s="11">
        <f>IF(E32="","",ROUND((E32*G32)-IF(H32="",0,H32), 2))</f>
        <v/>
      </c>
      <c r="L32" s="11">
        <f>IF(K32="","",ROUND(K32*(J32/100), 2))</f>
        <v/>
      </c>
      <c r="M32" s="11">
        <f>IF(K32="","",K32+L32)</f>
        <v/>
      </c>
    </row>
    <row r="33">
      <c r="J33" s="10">
        <f>IF(I33="S", 5.00, 0.00)</f>
        <v/>
      </c>
      <c r="K33" s="11">
        <f>IF(E33="","",ROUND((E33*G33)-IF(H33="",0,H33), 2))</f>
        <v/>
      </c>
      <c r="L33" s="11">
        <f>IF(K33="","",ROUND(K33*(J33/100), 2))</f>
        <v/>
      </c>
      <c r="M33" s="11">
        <f>IF(K33="","",K33+L33)</f>
        <v/>
      </c>
    </row>
    <row r="34">
      <c r="J34" s="10">
        <f>IF(I34="S", 5.00, 0.00)</f>
        <v/>
      </c>
      <c r="K34" s="11">
        <f>IF(E34="","",ROUND((E34*G34)-IF(H34="",0,H34), 2))</f>
        <v/>
      </c>
      <c r="L34" s="11">
        <f>IF(K34="","",ROUND(K34*(J34/100), 2))</f>
        <v/>
      </c>
      <c r="M34" s="11">
        <f>IF(K34="","",K34+L34)</f>
        <v/>
      </c>
    </row>
    <row r="35">
      <c r="J35" s="10">
        <f>IF(I35="S", 5.00, 0.00)</f>
        <v/>
      </c>
      <c r="K35" s="11">
        <f>IF(E35="","",ROUND((E35*G35)-IF(H35="",0,H35), 2))</f>
        <v/>
      </c>
      <c r="L35" s="11">
        <f>IF(K35="","",ROUND(K35*(J35/100), 2))</f>
        <v/>
      </c>
      <c r="M35" s="11">
        <f>IF(K35="","",K35+L35)</f>
        <v/>
      </c>
    </row>
    <row r="36">
      <c r="J36" s="10">
        <f>IF(I36="S", 5.00, 0.00)</f>
        <v/>
      </c>
      <c r="K36" s="11">
        <f>IF(E36="","",ROUND((E36*G36)-IF(H36="",0,H36), 2))</f>
        <v/>
      </c>
      <c r="L36" s="11">
        <f>IF(K36="","",ROUND(K36*(J36/100), 2))</f>
        <v/>
      </c>
      <c r="M36" s="11">
        <f>IF(K36="","",K36+L36)</f>
        <v/>
      </c>
    </row>
    <row r="37">
      <c r="J37" s="10">
        <f>IF(I37="S", 5.00, 0.00)</f>
        <v/>
      </c>
      <c r="K37" s="11">
        <f>IF(E37="","",ROUND((E37*G37)-IF(H37="",0,H37), 2))</f>
        <v/>
      </c>
      <c r="L37" s="11">
        <f>IF(K37="","",ROUND(K37*(J37/100), 2))</f>
        <v/>
      </c>
      <c r="M37" s="11">
        <f>IF(K37="","",K37+L37)</f>
        <v/>
      </c>
    </row>
    <row r="38">
      <c r="J38" s="10">
        <f>IF(I38="S", 5.00, 0.00)</f>
        <v/>
      </c>
      <c r="K38" s="11">
        <f>IF(E38="","",ROUND((E38*G38)-IF(H38="",0,H38), 2))</f>
        <v/>
      </c>
      <c r="L38" s="11">
        <f>IF(K38="","",ROUND(K38*(J38/100), 2))</f>
        <v/>
      </c>
      <c r="M38" s="11">
        <f>IF(K38="","",K38+L38)</f>
        <v/>
      </c>
    </row>
    <row r="39">
      <c r="J39" s="10">
        <f>IF(I39="S", 5.00, 0.00)</f>
        <v/>
      </c>
      <c r="K39" s="11">
        <f>IF(E39="","",ROUND((E39*G39)-IF(H39="",0,H39), 2))</f>
        <v/>
      </c>
      <c r="L39" s="11">
        <f>IF(K39="","",ROUND(K39*(J39/100), 2))</f>
        <v/>
      </c>
      <c r="M39" s="11">
        <f>IF(K39="","",K39+L39)</f>
        <v/>
      </c>
    </row>
    <row r="40">
      <c r="J40" s="10">
        <f>IF(I40="S", 5.00, 0.00)</f>
        <v/>
      </c>
      <c r="K40" s="11">
        <f>IF(E40="","",ROUND((E40*G40)-IF(H40="",0,H40), 2))</f>
        <v/>
      </c>
      <c r="L40" s="11">
        <f>IF(K40="","",ROUND(K40*(J40/100), 2))</f>
        <v/>
      </c>
      <c r="M40" s="11">
        <f>IF(K40="","",K40+L40)</f>
        <v/>
      </c>
    </row>
    <row r="41">
      <c r="J41" s="10">
        <f>IF(I41="S", 5.00, 0.00)</f>
        <v/>
      </c>
      <c r="K41" s="11">
        <f>IF(E41="","",ROUND((E41*G41)-IF(H41="",0,H41), 2))</f>
        <v/>
      </c>
      <c r="L41" s="11">
        <f>IF(K41="","",ROUND(K41*(J41/100), 2))</f>
        <v/>
      </c>
      <c r="M41" s="11">
        <f>IF(K41="","",K41+L41)</f>
        <v/>
      </c>
    </row>
    <row r="42">
      <c r="J42" s="10">
        <f>IF(I42="S", 5.00, 0.00)</f>
        <v/>
      </c>
      <c r="K42" s="11">
        <f>IF(E42="","",ROUND((E42*G42)-IF(H42="",0,H42), 2))</f>
        <v/>
      </c>
      <c r="L42" s="11">
        <f>IF(K42="","",ROUND(K42*(J42/100), 2))</f>
        <v/>
      </c>
      <c r="M42" s="11">
        <f>IF(K42="","",K42+L42)</f>
        <v/>
      </c>
    </row>
    <row r="43">
      <c r="J43" s="10">
        <f>IF(I43="S", 5.00, 0.00)</f>
        <v/>
      </c>
      <c r="K43" s="11">
        <f>IF(E43="","",ROUND((E43*G43)-IF(H43="",0,H43), 2))</f>
        <v/>
      </c>
      <c r="L43" s="11">
        <f>IF(K43="","",ROUND(K43*(J43/100), 2))</f>
        <v/>
      </c>
      <c r="M43" s="11">
        <f>IF(K43="","",K43+L43)</f>
        <v/>
      </c>
    </row>
    <row r="44">
      <c r="J44" s="10">
        <f>IF(I44="S", 5.00, 0.00)</f>
        <v/>
      </c>
      <c r="K44" s="11">
        <f>IF(E44="","",ROUND((E44*G44)-IF(H44="",0,H44), 2))</f>
        <v/>
      </c>
      <c r="L44" s="11">
        <f>IF(K44="","",ROUND(K44*(J44/100), 2))</f>
        <v/>
      </c>
      <c r="M44" s="11">
        <f>IF(K44="","",K44+L44)</f>
        <v/>
      </c>
    </row>
    <row r="45">
      <c r="J45" s="10">
        <f>IF(I45="S", 5.00, 0.00)</f>
        <v/>
      </c>
      <c r="K45" s="11">
        <f>IF(E45="","",ROUND((E45*G45)-IF(H45="",0,H45), 2))</f>
        <v/>
      </c>
      <c r="L45" s="11">
        <f>IF(K45="","",ROUND(K45*(J45/100), 2))</f>
        <v/>
      </c>
      <c r="M45" s="11">
        <f>IF(K45="","",K45+L45)</f>
        <v/>
      </c>
    </row>
    <row r="46">
      <c r="J46" s="10">
        <f>IF(I46="S", 5.00, 0.00)</f>
        <v/>
      </c>
      <c r="K46" s="11">
        <f>IF(E46="","",ROUND((E46*G46)-IF(H46="",0,H46), 2))</f>
        <v/>
      </c>
      <c r="L46" s="11">
        <f>IF(K46="","",ROUND(K46*(J46/100), 2))</f>
        <v/>
      </c>
      <c r="M46" s="11">
        <f>IF(K46="","",K46+L46)</f>
        <v/>
      </c>
    </row>
    <row r="47">
      <c r="J47" s="10">
        <f>IF(I47="S", 5.00, 0.00)</f>
        <v/>
      </c>
      <c r="K47" s="11">
        <f>IF(E47="","",ROUND((E47*G47)-IF(H47="",0,H47), 2))</f>
        <v/>
      </c>
      <c r="L47" s="11">
        <f>IF(K47="","",ROUND(K47*(J47/100), 2))</f>
        <v/>
      </c>
      <c r="M47" s="11">
        <f>IF(K47="","",K47+L47)</f>
        <v/>
      </c>
    </row>
    <row r="48">
      <c r="J48" s="10">
        <f>IF(I48="S", 5.00, 0.00)</f>
        <v/>
      </c>
      <c r="K48" s="11">
        <f>IF(E48="","",ROUND((E48*G48)-IF(H48="",0,H48), 2))</f>
        <v/>
      </c>
      <c r="L48" s="11">
        <f>IF(K48="","",ROUND(K48*(J48/100), 2))</f>
        <v/>
      </c>
      <c r="M48" s="11">
        <f>IF(K48="","",K48+L48)</f>
        <v/>
      </c>
    </row>
    <row r="49">
      <c r="J49" s="10">
        <f>IF(I49="S", 5.00, 0.00)</f>
        <v/>
      </c>
      <c r="K49" s="11">
        <f>IF(E49="","",ROUND((E49*G49)-IF(H49="",0,H49), 2))</f>
        <v/>
      </c>
      <c r="L49" s="11">
        <f>IF(K49="","",ROUND(K49*(J49/100), 2))</f>
        <v/>
      </c>
      <c r="M49" s="11">
        <f>IF(K49="","",K49+L49)</f>
        <v/>
      </c>
    </row>
    <row r="50">
      <c r="J50" s="10">
        <f>IF(I50="S", 5.00, 0.00)</f>
        <v/>
      </c>
      <c r="K50" s="11">
        <f>IF(E50="","",ROUND((E50*G50)-IF(H50="",0,H50), 2))</f>
        <v/>
      </c>
      <c r="L50" s="11">
        <f>IF(K50="","",ROUND(K50*(J50/100), 2))</f>
        <v/>
      </c>
      <c r="M50" s="11">
        <f>IF(K50="","",K50+L50)</f>
        <v/>
      </c>
    </row>
    <row r="51">
      <c r="J51" s="10">
        <f>IF(I51="S", 5.00, 0.00)</f>
        <v/>
      </c>
      <c r="K51" s="11">
        <f>IF(E51="","",ROUND((E51*G51)-IF(H51="",0,H51), 2))</f>
        <v/>
      </c>
      <c r="L51" s="11">
        <f>IF(K51="","",ROUND(K51*(J51/100), 2))</f>
        <v/>
      </c>
      <c r="M51" s="11">
        <f>IF(K51="","",K51+L51)</f>
        <v/>
      </c>
    </row>
    <row r="52">
      <c r="J52" s="10">
        <f>IF(I52="S", 5.00, 0.00)</f>
        <v/>
      </c>
      <c r="K52" s="11">
        <f>IF(E52="","",ROUND((E52*G52)-IF(H52="",0,H52), 2))</f>
        <v/>
      </c>
      <c r="L52" s="11">
        <f>IF(K52="","",ROUND(K52*(J52/100), 2))</f>
        <v/>
      </c>
      <c r="M52" s="11">
        <f>IF(K52="","",K52+L52)</f>
        <v/>
      </c>
    </row>
    <row r="53">
      <c r="J53" s="10">
        <f>IF(I53="S", 5.00, 0.00)</f>
        <v/>
      </c>
      <c r="K53" s="11">
        <f>IF(E53="","",ROUND((E53*G53)-IF(H53="",0,H53), 2))</f>
        <v/>
      </c>
      <c r="L53" s="11">
        <f>IF(K53="","",ROUND(K53*(J53/100), 2))</f>
        <v/>
      </c>
      <c r="M53" s="11">
        <f>IF(K53="","",K53+L53)</f>
        <v/>
      </c>
    </row>
    <row r="54">
      <c r="J54" s="10">
        <f>IF(I54="S", 5.00, 0.00)</f>
        <v/>
      </c>
      <c r="K54" s="11">
        <f>IF(E54="","",ROUND((E54*G54)-IF(H54="",0,H54), 2))</f>
        <v/>
      </c>
      <c r="L54" s="11">
        <f>IF(K54="","",ROUND(K54*(J54/100), 2))</f>
        <v/>
      </c>
      <c r="M54" s="11">
        <f>IF(K54="","",K54+L54)</f>
        <v/>
      </c>
    </row>
    <row r="55">
      <c r="J55" s="10">
        <f>IF(I55="S", 5.00, 0.00)</f>
        <v/>
      </c>
      <c r="K55" s="11">
        <f>IF(E55="","",ROUND((E55*G55)-IF(H55="",0,H55), 2))</f>
        <v/>
      </c>
      <c r="L55" s="11">
        <f>IF(K55="","",ROUND(K55*(J55/100), 2))</f>
        <v/>
      </c>
      <c r="M55" s="11">
        <f>IF(K55="","",K55+L55)</f>
        <v/>
      </c>
    </row>
    <row r="56">
      <c r="J56" s="10">
        <f>IF(I56="S", 5.00, 0.00)</f>
        <v/>
      </c>
      <c r="K56" s="11">
        <f>IF(E56="","",ROUND((E56*G56)-IF(H56="",0,H56), 2))</f>
        <v/>
      </c>
      <c r="L56" s="11">
        <f>IF(K56="","",ROUND(K56*(J56/100), 2))</f>
        <v/>
      </c>
      <c r="M56" s="11">
        <f>IF(K56="","",K56+L56)</f>
        <v/>
      </c>
    </row>
    <row r="57">
      <c r="J57" s="10">
        <f>IF(I57="S", 5.00, 0.00)</f>
        <v/>
      </c>
      <c r="K57" s="11">
        <f>IF(E57="","",ROUND((E57*G57)-IF(H57="",0,H57), 2))</f>
        <v/>
      </c>
      <c r="L57" s="11">
        <f>IF(K57="","",ROUND(K57*(J57/100), 2))</f>
        <v/>
      </c>
      <c r="M57" s="11">
        <f>IF(K57="","",K57+L57)</f>
        <v/>
      </c>
    </row>
    <row r="58">
      <c r="J58" s="10">
        <f>IF(I58="S", 5.00, 0.00)</f>
        <v/>
      </c>
      <c r="K58" s="11">
        <f>IF(E58="","",ROUND((E58*G58)-IF(H58="",0,H58), 2))</f>
        <v/>
      </c>
      <c r="L58" s="11">
        <f>IF(K58="","",ROUND(K58*(J58/100), 2))</f>
        <v/>
      </c>
      <c r="M58" s="11">
        <f>IF(K58="","",K58+L58)</f>
        <v/>
      </c>
    </row>
    <row r="59">
      <c r="J59" s="10">
        <f>IF(I59="S", 5.00, 0.00)</f>
        <v/>
      </c>
      <c r="K59" s="11">
        <f>IF(E59="","",ROUND((E59*G59)-IF(H59="",0,H59), 2))</f>
        <v/>
      </c>
      <c r="L59" s="11">
        <f>IF(K59="","",ROUND(K59*(J59/100), 2))</f>
        <v/>
      </c>
      <c r="M59" s="11">
        <f>IF(K59="","",K59+L59)</f>
        <v/>
      </c>
    </row>
    <row r="60">
      <c r="J60" s="10">
        <f>IF(I60="S", 5.00, 0.00)</f>
        <v/>
      </c>
      <c r="K60" s="11">
        <f>IF(E60="","",ROUND((E60*G60)-IF(H60="",0,H60), 2))</f>
        <v/>
      </c>
      <c r="L60" s="11">
        <f>IF(K60="","",ROUND(K60*(J60/100), 2))</f>
        <v/>
      </c>
      <c r="M60" s="11">
        <f>IF(K60="","",K60+L60)</f>
        <v/>
      </c>
    </row>
    <row r="61">
      <c r="J61" s="10">
        <f>IF(I61="S", 5.00, 0.00)</f>
        <v/>
      </c>
      <c r="K61" s="11">
        <f>IF(E61="","",ROUND((E61*G61)-IF(H61="",0,H61), 2))</f>
        <v/>
      </c>
      <c r="L61" s="11">
        <f>IF(K61="","",ROUND(K61*(J61/100), 2))</f>
        <v/>
      </c>
      <c r="M61" s="11">
        <f>IF(K61="","",K61+L61)</f>
        <v/>
      </c>
    </row>
    <row r="62">
      <c r="J62" s="10">
        <f>IF(I62="S", 5.00, 0.00)</f>
        <v/>
      </c>
      <c r="K62" s="11">
        <f>IF(E62="","",ROUND((E62*G62)-IF(H62="",0,H62), 2))</f>
        <v/>
      </c>
      <c r="L62" s="11">
        <f>IF(K62="","",ROUND(K62*(J62/100), 2))</f>
        <v/>
      </c>
      <c r="M62" s="11">
        <f>IF(K62="","",K62+L62)</f>
        <v/>
      </c>
    </row>
    <row r="63">
      <c r="J63" s="10">
        <f>IF(I63="S", 5.00, 0.00)</f>
        <v/>
      </c>
      <c r="K63" s="11">
        <f>IF(E63="","",ROUND((E63*G63)-IF(H63="",0,H63), 2))</f>
        <v/>
      </c>
      <c r="L63" s="11">
        <f>IF(K63="","",ROUND(K63*(J63/100), 2))</f>
        <v/>
      </c>
      <c r="M63" s="11">
        <f>IF(K63="","",K63+L63)</f>
        <v/>
      </c>
    </row>
    <row r="64">
      <c r="J64" s="10">
        <f>IF(I64="S", 5.00, 0.00)</f>
        <v/>
      </c>
      <c r="K64" s="11">
        <f>IF(E64="","",ROUND((E64*G64)-IF(H64="",0,H64), 2))</f>
        <v/>
      </c>
      <c r="L64" s="11">
        <f>IF(K64="","",ROUND(K64*(J64/100), 2))</f>
        <v/>
      </c>
      <c r="M64" s="11">
        <f>IF(K64="","",K64+L64)</f>
        <v/>
      </c>
    </row>
    <row r="65">
      <c r="J65" s="10">
        <f>IF(I65="S", 5.00, 0.00)</f>
        <v/>
      </c>
      <c r="K65" s="11">
        <f>IF(E65="","",ROUND((E65*G65)-IF(H65="",0,H65), 2))</f>
        <v/>
      </c>
      <c r="L65" s="11">
        <f>IF(K65="","",ROUND(K65*(J65/100), 2))</f>
        <v/>
      </c>
      <c r="M65" s="11">
        <f>IF(K65="","",K65+L65)</f>
        <v/>
      </c>
    </row>
    <row r="66">
      <c r="J66" s="10">
        <f>IF(I66="S", 5.00, 0.00)</f>
        <v/>
      </c>
      <c r="K66" s="11">
        <f>IF(E66="","",ROUND((E66*G66)-IF(H66="",0,H66), 2))</f>
        <v/>
      </c>
      <c r="L66" s="11">
        <f>IF(K66="","",ROUND(K66*(J66/100), 2))</f>
        <v/>
      </c>
      <c r="M66" s="11">
        <f>IF(K66="","",K66+L66)</f>
        <v/>
      </c>
    </row>
    <row r="67">
      <c r="J67" s="10">
        <f>IF(I67="S", 5.00, 0.00)</f>
        <v/>
      </c>
      <c r="K67" s="11">
        <f>IF(E67="","",ROUND((E67*G67)-IF(H67="",0,H67), 2))</f>
        <v/>
      </c>
      <c r="L67" s="11">
        <f>IF(K67="","",ROUND(K67*(J67/100), 2))</f>
        <v/>
      </c>
      <c r="M67" s="11">
        <f>IF(K67="","",K67+L67)</f>
        <v/>
      </c>
    </row>
    <row r="68">
      <c r="J68" s="10">
        <f>IF(I68="S", 5.00, 0.00)</f>
        <v/>
      </c>
      <c r="K68" s="11">
        <f>IF(E68="","",ROUND((E68*G68)-IF(H68="",0,H68), 2))</f>
        <v/>
      </c>
      <c r="L68" s="11">
        <f>IF(K68="","",ROUND(K68*(J68/100), 2))</f>
        <v/>
      </c>
      <c r="M68" s="11">
        <f>IF(K68="","",K68+L68)</f>
        <v/>
      </c>
    </row>
    <row r="69">
      <c r="J69" s="10">
        <f>IF(I69="S", 5.00, 0.00)</f>
        <v/>
      </c>
      <c r="K69" s="11">
        <f>IF(E69="","",ROUND((E69*G69)-IF(H69="",0,H69), 2))</f>
        <v/>
      </c>
      <c r="L69" s="11">
        <f>IF(K69="","",ROUND(K69*(J69/100), 2))</f>
        <v/>
      </c>
      <c r="M69" s="11">
        <f>IF(K69="","",K69+L69)</f>
        <v/>
      </c>
    </row>
    <row r="70">
      <c r="J70" s="10">
        <f>IF(I70="S", 5.00, 0.00)</f>
        <v/>
      </c>
      <c r="K70" s="11">
        <f>IF(E70="","",ROUND((E70*G70)-IF(H70="",0,H70), 2))</f>
        <v/>
      </c>
      <c r="L70" s="11">
        <f>IF(K70="","",ROUND(K70*(J70/100), 2))</f>
        <v/>
      </c>
      <c r="M70" s="11">
        <f>IF(K70="","",K70+L70)</f>
        <v/>
      </c>
    </row>
    <row r="71">
      <c r="J71" s="10">
        <f>IF(I71="S", 5.00, 0.00)</f>
        <v/>
      </c>
      <c r="K71" s="11">
        <f>IF(E71="","",ROUND((E71*G71)-IF(H71="",0,H71), 2))</f>
        <v/>
      </c>
      <c r="L71" s="11">
        <f>IF(K71="","",ROUND(K71*(J71/100), 2))</f>
        <v/>
      </c>
      <c r="M71" s="11">
        <f>IF(K71="","",K71+L71)</f>
        <v/>
      </c>
    </row>
    <row r="72">
      <c r="J72" s="10">
        <f>IF(I72="S", 5.00, 0.00)</f>
        <v/>
      </c>
      <c r="K72" s="11">
        <f>IF(E72="","",ROUND((E72*G72)-IF(H72="",0,H72), 2))</f>
        <v/>
      </c>
      <c r="L72" s="11">
        <f>IF(K72="","",ROUND(K72*(J72/100), 2))</f>
        <v/>
      </c>
      <c r="M72" s="11">
        <f>IF(K72="","",K72+L72)</f>
        <v/>
      </c>
    </row>
    <row r="73">
      <c r="J73" s="10">
        <f>IF(I73="S", 5.00, 0.00)</f>
        <v/>
      </c>
      <c r="K73" s="11">
        <f>IF(E73="","",ROUND((E73*G73)-IF(H73="",0,H73), 2))</f>
        <v/>
      </c>
      <c r="L73" s="11">
        <f>IF(K73="","",ROUND(K73*(J73/100), 2))</f>
        <v/>
      </c>
      <c r="M73" s="11">
        <f>IF(K73="","",K73+L73)</f>
        <v/>
      </c>
    </row>
    <row r="74">
      <c r="J74" s="10">
        <f>IF(I74="S", 5.00, 0.00)</f>
        <v/>
      </c>
      <c r="K74" s="11">
        <f>IF(E74="","",ROUND((E74*G74)-IF(H74="",0,H74), 2))</f>
        <v/>
      </c>
      <c r="L74" s="11">
        <f>IF(K74="","",ROUND(K74*(J74/100), 2))</f>
        <v/>
      </c>
      <c r="M74" s="11">
        <f>IF(K74="","",K74+L74)</f>
        <v/>
      </c>
    </row>
    <row r="75">
      <c r="J75" s="10">
        <f>IF(I75="S", 5.00, 0.00)</f>
        <v/>
      </c>
      <c r="K75" s="11">
        <f>IF(E75="","",ROUND((E75*G75)-IF(H75="",0,H75), 2))</f>
        <v/>
      </c>
      <c r="L75" s="11">
        <f>IF(K75="","",ROUND(K75*(J75/100), 2))</f>
        <v/>
      </c>
      <c r="M75" s="11">
        <f>IF(K75="","",K75+L75)</f>
        <v/>
      </c>
    </row>
    <row r="76">
      <c r="J76" s="10">
        <f>IF(I76="S", 5.00, 0.00)</f>
        <v/>
      </c>
      <c r="K76" s="11">
        <f>IF(E76="","",ROUND((E76*G76)-IF(H76="",0,H76), 2))</f>
        <v/>
      </c>
      <c r="L76" s="11">
        <f>IF(K76="","",ROUND(K76*(J76/100), 2))</f>
        <v/>
      </c>
      <c r="M76" s="11">
        <f>IF(K76="","",K76+L76)</f>
        <v/>
      </c>
    </row>
    <row r="77">
      <c r="J77" s="10">
        <f>IF(I77="S", 5.00, 0.00)</f>
        <v/>
      </c>
      <c r="K77" s="11">
        <f>IF(E77="","",ROUND((E77*G77)-IF(H77="",0,H77), 2))</f>
        <v/>
      </c>
      <c r="L77" s="11">
        <f>IF(K77="","",ROUND(K77*(J77/100), 2))</f>
        <v/>
      </c>
      <c r="M77" s="11">
        <f>IF(K77="","",K77+L77)</f>
        <v/>
      </c>
    </row>
    <row r="78">
      <c r="J78" s="10">
        <f>IF(I78="S", 5.00, 0.00)</f>
        <v/>
      </c>
      <c r="K78" s="11">
        <f>IF(E78="","",ROUND((E78*G78)-IF(H78="",0,H78), 2))</f>
        <v/>
      </c>
      <c r="L78" s="11">
        <f>IF(K78="","",ROUND(K78*(J78/100), 2))</f>
        <v/>
      </c>
      <c r="M78" s="11">
        <f>IF(K78="","",K78+L78)</f>
        <v/>
      </c>
    </row>
    <row r="79">
      <c r="J79" s="10">
        <f>IF(I79="S", 5.00, 0.00)</f>
        <v/>
      </c>
      <c r="K79" s="11">
        <f>IF(E79="","",ROUND((E79*G79)-IF(H79="",0,H79), 2))</f>
        <v/>
      </c>
      <c r="L79" s="11">
        <f>IF(K79="","",ROUND(K79*(J79/100), 2))</f>
        <v/>
      </c>
      <c r="M79" s="11">
        <f>IF(K79="","",K79+L79)</f>
        <v/>
      </c>
    </row>
    <row r="80">
      <c r="J80" s="10">
        <f>IF(I80="S", 5.00, 0.00)</f>
        <v/>
      </c>
      <c r="K80" s="11">
        <f>IF(E80="","",ROUND((E80*G80)-IF(H80="",0,H80), 2))</f>
        <v/>
      </c>
      <c r="L80" s="11">
        <f>IF(K80="","",ROUND(K80*(J80/100), 2))</f>
        <v/>
      </c>
      <c r="M80" s="11">
        <f>IF(K80="","",K80+L80)</f>
        <v/>
      </c>
    </row>
    <row r="81">
      <c r="J81" s="10">
        <f>IF(I81="S", 5.00, 0.00)</f>
        <v/>
      </c>
      <c r="K81" s="11">
        <f>IF(E81="","",ROUND((E81*G81)-IF(H81="",0,H81), 2))</f>
        <v/>
      </c>
      <c r="L81" s="11">
        <f>IF(K81="","",ROUND(K81*(J81/100), 2))</f>
        <v/>
      </c>
      <c r="M81" s="11">
        <f>IF(K81="","",K81+L81)</f>
        <v/>
      </c>
    </row>
    <row r="82">
      <c r="J82" s="10">
        <f>IF(I82="S", 5.00, 0.00)</f>
        <v/>
      </c>
      <c r="K82" s="11">
        <f>IF(E82="","",ROUND((E82*G82)-IF(H82="",0,H82), 2))</f>
        <v/>
      </c>
      <c r="L82" s="11">
        <f>IF(K82="","",ROUND(K82*(J82/100), 2))</f>
        <v/>
      </c>
      <c r="M82" s="11">
        <f>IF(K82="","",K82+L82)</f>
        <v/>
      </c>
    </row>
    <row r="83">
      <c r="J83" s="10">
        <f>IF(I83="S", 5.00, 0.00)</f>
        <v/>
      </c>
      <c r="K83" s="11">
        <f>IF(E83="","",ROUND((E83*G83)-IF(H83="",0,H83), 2))</f>
        <v/>
      </c>
      <c r="L83" s="11">
        <f>IF(K83="","",ROUND(K83*(J83/100), 2))</f>
        <v/>
      </c>
      <c r="M83" s="11">
        <f>IF(K83="","",K83+L83)</f>
        <v/>
      </c>
    </row>
    <row r="84">
      <c r="J84" s="10">
        <f>IF(I84="S", 5.00, 0.00)</f>
        <v/>
      </c>
      <c r="K84" s="11">
        <f>IF(E84="","",ROUND((E84*G84)-IF(H84="",0,H84), 2))</f>
        <v/>
      </c>
      <c r="L84" s="11">
        <f>IF(K84="","",ROUND(K84*(J84/100), 2))</f>
        <v/>
      </c>
      <c r="M84" s="11">
        <f>IF(K84="","",K84+L84)</f>
        <v/>
      </c>
    </row>
    <row r="85">
      <c r="J85" s="10">
        <f>IF(I85="S", 5.00, 0.00)</f>
        <v/>
      </c>
      <c r="K85" s="11">
        <f>IF(E85="","",ROUND((E85*G85)-IF(H85="",0,H85), 2))</f>
        <v/>
      </c>
      <c r="L85" s="11">
        <f>IF(K85="","",ROUND(K85*(J85/100), 2))</f>
        <v/>
      </c>
      <c r="M85" s="11">
        <f>IF(K85="","",K85+L85)</f>
        <v/>
      </c>
    </row>
    <row r="86">
      <c r="J86" s="10">
        <f>IF(I86="S", 5.00, 0.00)</f>
        <v/>
      </c>
      <c r="K86" s="11">
        <f>IF(E86="","",ROUND((E86*G86)-IF(H86="",0,H86), 2))</f>
        <v/>
      </c>
      <c r="L86" s="11">
        <f>IF(K86="","",ROUND(K86*(J86/100), 2))</f>
        <v/>
      </c>
      <c r="M86" s="11">
        <f>IF(K86="","",K86+L86)</f>
        <v/>
      </c>
    </row>
    <row r="87">
      <c r="J87" s="10">
        <f>IF(I87="S", 5.00, 0.00)</f>
        <v/>
      </c>
      <c r="K87" s="11">
        <f>IF(E87="","",ROUND((E87*G87)-IF(H87="",0,H87), 2))</f>
        <v/>
      </c>
      <c r="L87" s="11">
        <f>IF(K87="","",ROUND(K87*(J87/100), 2))</f>
        <v/>
      </c>
      <c r="M87" s="11">
        <f>IF(K87="","",K87+L87)</f>
        <v/>
      </c>
    </row>
    <row r="88">
      <c r="J88" s="10">
        <f>IF(I88="S", 5.00, 0.00)</f>
        <v/>
      </c>
      <c r="K88" s="11">
        <f>IF(E88="","",ROUND((E88*G88)-IF(H88="",0,H88), 2))</f>
        <v/>
      </c>
      <c r="L88" s="11">
        <f>IF(K88="","",ROUND(K88*(J88/100), 2))</f>
        <v/>
      </c>
      <c r="M88" s="11">
        <f>IF(K88="","",K88+L88)</f>
        <v/>
      </c>
    </row>
    <row r="89">
      <c r="J89" s="10">
        <f>IF(I89="S", 5.00, 0.00)</f>
        <v/>
      </c>
      <c r="K89" s="11">
        <f>IF(E89="","",ROUND((E89*G89)-IF(H89="",0,H89), 2))</f>
        <v/>
      </c>
      <c r="L89" s="11">
        <f>IF(K89="","",ROUND(K89*(J89/100), 2))</f>
        <v/>
      </c>
      <c r="M89" s="11">
        <f>IF(K89="","",K89+L89)</f>
        <v/>
      </c>
    </row>
    <row r="90">
      <c r="J90" s="10">
        <f>IF(I90="S", 5.00, 0.00)</f>
        <v/>
      </c>
      <c r="K90" s="11">
        <f>IF(E90="","",ROUND((E90*G90)-IF(H90="",0,H90), 2))</f>
        <v/>
      </c>
      <c r="L90" s="11">
        <f>IF(K90="","",ROUND(K90*(J90/100), 2))</f>
        <v/>
      </c>
      <c r="M90" s="11">
        <f>IF(K90="","",K90+L90)</f>
        <v/>
      </c>
    </row>
    <row r="91">
      <c r="J91" s="10">
        <f>IF(I91="S", 5.00, 0.00)</f>
        <v/>
      </c>
      <c r="K91" s="11">
        <f>IF(E91="","",ROUND((E91*G91)-IF(H91="",0,H91), 2))</f>
        <v/>
      </c>
      <c r="L91" s="11">
        <f>IF(K91="","",ROUND(K91*(J91/100), 2))</f>
        <v/>
      </c>
      <c r="M91" s="11">
        <f>IF(K91="","",K91+L91)</f>
        <v/>
      </c>
    </row>
    <row r="92">
      <c r="J92" s="10">
        <f>IF(I92="S", 5.00, 0.00)</f>
        <v/>
      </c>
      <c r="K92" s="11">
        <f>IF(E92="","",ROUND((E92*G92)-IF(H92="",0,H92), 2))</f>
        <v/>
      </c>
      <c r="L92" s="11">
        <f>IF(K92="","",ROUND(K92*(J92/100), 2))</f>
        <v/>
      </c>
      <c r="M92" s="11">
        <f>IF(K92="","",K92+L92)</f>
        <v/>
      </c>
    </row>
    <row r="93">
      <c r="J93" s="10">
        <f>IF(I93="S", 5.00, 0.00)</f>
        <v/>
      </c>
      <c r="K93" s="11">
        <f>IF(E93="","",ROUND((E93*G93)-IF(H93="",0,H93), 2))</f>
        <v/>
      </c>
      <c r="L93" s="11">
        <f>IF(K93="","",ROUND(K93*(J93/100), 2))</f>
        <v/>
      </c>
      <c r="M93" s="11">
        <f>IF(K93="","",K93+L93)</f>
        <v/>
      </c>
    </row>
    <row r="94">
      <c r="J94" s="10">
        <f>IF(I94="S", 5.00, 0.00)</f>
        <v/>
      </c>
      <c r="K94" s="11">
        <f>IF(E94="","",ROUND((E94*G94)-IF(H94="",0,H94), 2))</f>
        <v/>
      </c>
      <c r="L94" s="11">
        <f>IF(K94="","",ROUND(K94*(J94/100), 2))</f>
        <v/>
      </c>
      <c r="M94" s="11">
        <f>IF(K94="","",K94+L94)</f>
        <v/>
      </c>
    </row>
    <row r="95">
      <c r="J95" s="10">
        <f>IF(I95="S", 5.00, 0.00)</f>
        <v/>
      </c>
      <c r="K95" s="11">
        <f>IF(E95="","",ROUND((E95*G95)-IF(H95="",0,H95), 2))</f>
        <v/>
      </c>
      <c r="L95" s="11">
        <f>IF(K95="","",ROUND(K95*(J95/100), 2))</f>
        <v/>
      </c>
      <c r="M95" s="11">
        <f>IF(K95="","",K95+L95)</f>
        <v/>
      </c>
    </row>
    <row r="96">
      <c r="J96" s="10">
        <f>IF(I96="S", 5.00, 0.00)</f>
        <v/>
      </c>
      <c r="K96" s="11">
        <f>IF(E96="","",ROUND((E96*G96)-IF(H96="",0,H96), 2))</f>
        <v/>
      </c>
      <c r="L96" s="11">
        <f>IF(K96="","",ROUND(K96*(J96/100), 2))</f>
        <v/>
      </c>
      <c r="M96" s="11">
        <f>IF(K96="","",K96+L96)</f>
        <v/>
      </c>
    </row>
    <row r="97">
      <c r="J97" s="10">
        <f>IF(I97="S", 5.00, 0.00)</f>
        <v/>
      </c>
      <c r="K97" s="11">
        <f>IF(E97="","",ROUND((E97*G97)-IF(H97="",0,H97), 2))</f>
        <v/>
      </c>
      <c r="L97" s="11">
        <f>IF(K97="","",ROUND(K97*(J97/100), 2))</f>
        <v/>
      </c>
      <c r="M97" s="11">
        <f>IF(K97="","",K97+L97)</f>
        <v/>
      </c>
    </row>
    <row r="98">
      <c r="J98" s="10">
        <f>IF(I98="S", 5.00, 0.00)</f>
        <v/>
      </c>
      <c r="K98" s="11">
        <f>IF(E98="","",ROUND((E98*G98)-IF(H98="",0,H98), 2))</f>
        <v/>
      </c>
      <c r="L98" s="11">
        <f>IF(K98="","",ROUND(K98*(J98/100), 2))</f>
        <v/>
      </c>
      <c r="M98" s="11">
        <f>IF(K98="","",K98+L98)</f>
        <v/>
      </c>
    </row>
    <row r="99">
      <c r="J99" s="10">
        <f>IF(I99="S", 5.00, 0.00)</f>
        <v/>
      </c>
      <c r="K99" s="11">
        <f>IF(E99="","",ROUND((E99*G99)-IF(H99="",0,H99), 2))</f>
        <v/>
      </c>
      <c r="L99" s="11">
        <f>IF(K99="","",ROUND(K99*(J99/100), 2))</f>
        <v/>
      </c>
      <c r="M99" s="11">
        <f>IF(K99="","",K99+L99)</f>
        <v/>
      </c>
    </row>
    <row r="100">
      <c r="J100" s="10">
        <f>IF(I100="S", 5.00, 0.00)</f>
        <v/>
      </c>
      <c r="K100" s="11">
        <f>IF(E100="","",ROUND((E100*G100)-IF(H100="",0,H100), 2))</f>
        <v/>
      </c>
      <c r="L100" s="11">
        <f>IF(K100="","",ROUND(K100*(J100/100), 2))</f>
        <v/>
      </c>
      <c r="M100" s="11">
        <f>IF(K100="","",K100+L100)</f>
        <v/>
      </c>
    </row>
    <row r="101">
      <c r="J101" s="10">
        <f>IF(I101="S", 5.00, 0.00)</f>
        <v/>
      </c>
      <c r="K101" s="11">
        <f>IF(E101="","",ROUND((E101*G101)-IF(H101="",0,H101), 2))</f>
        <v/>
      </c>
      <c r="L101" s="11">
        <f>IF(K101="","",ROUND(K101*(J101/100), 2))</f>
        <v/>
      </c>
      <c r="M101" s="11">
        <f>IF(K101="","",K101+L101)</f>
        <v/>
      </c>
    </row>
    <row r="102">
      <c r="J102" s="10">
        <f>IF(I102="S", 5.00, 0.00)</f>
        <v/>
      </c>
      <c r="K102" s="11">
        <f>IF(E102="","",ROUND((E102*G102)-IF(H102="",0,H102), 2))</f>
        <v/>
      </c>
      <c r="L102" s="11">
        <f>IF(K102="","",ROUND(K102*(J102/100), 2))</f>
        <v/>
      </c>
      <c r="M102" s="11">
        <f>IF(K102="","",K102+L102)</f>
        <v/>
      </c>
    </row>
    <row r="103">
      <c r="J103" s="10">
        <f>IF(I103="S", 5.00, 0.00)</f>
        <v/>
      </c>
      <c r="K103" s="11">
        <f>IF(E103="","",ROUND((E103*G103)-IF(H103="",0,H103), 2))</f>
        <v/>
      </c>
      <c r="L103" s="11">
        <f>IF(K103="","",ROUND(K103*(J103/100), 2))</f>
        <v/>
      </c>
      <c r="M103" s="11">
        <f>IF(K103="","",K103+L103)</f>
        <v/>
      </c>
    </row>
    <row r="104">
      <c r="J104" s="10">
        <f>IF(I104="S", 5.00, 0.00)</f>
        <v/>
      </c>
      <c r="K104" s="11">
        <f>IF(E104="","",ROUND((E104*G104)-IF(H104="",0,H104), 2))</f>
        <v/>
      </c>
      <c r="L104" s="11">
        <f>IF(K104="","",ROUND(K104*(J104/100), 2))</f>
        <v/>
      </c>
      <c r="M104" s="11">
        <f>IF(K104="","",K104+L104)</f>
        <v/>
      </c>
    </row>
    <row r="105">
      <c r="J105" s="10">
        <f>IF(I105="S", 5.00, 0.00)</f>
        <v/>
      </c>
      <c r="K105" s="11">
        <f>IF(E105="","",ROUND((E105*G105)-IF(H105="",0,H105), 2))</f>
        <v/>
      </c>
      <c r="L105" s="11">
        <f>IF(K105="","",ROUND(K105*(J105/100), 2))</f>
        <v/>
      </c>
      <c r="M105" s="11">
        <f>IF(K105="","",K105+L105)</f>
        <v/>
      </c>
    </row>
    <row r="106">
      <c r="J106" s="10">
        <f>IF(I106="S", 5.00, 0.00)</f>
        <v/>
      </c>
      <c r="K106" s="11">
        <f>IF(E106="","",ROUND((E106*G106)-IF(H106="",0,H106), 2))</f>
        <v/>
      </c>
      <c r="L106" s="11">
        <f>IF(K106="","",ROUND(K106*(J106/100), 2))</f>
        <v/>
      </c>
      <c r="M106" s="11">
        <f>IF(K106="","",K106+L106)</f>
        <v/>
      </c>
    </row>
    <row r="107">
      <c r="J107" s="10">
        <f>IF(I107="S", 5.00, 0.00)</f>
        <v/>
      </c>
      <c r="K107" s="11">
        <f>IF(E107="","",ROUND((E107*G107)-IF(H107="",0,H107), 2))</f>
        <v/>
      </c>
      <c r="L107" s="11">
        <f>IF(K107="","",ROUND(K107*(J107/100), 2))</f>
        <v/>
      </c>
      <c r="M107" s="11">
        <f>IF(K107="","",K107+L107)</f>
        <v/>
      </c>
    </row>
    <row r="108">
      <c r="J108" s="10">
        <f>IF(I108="S", 5.00, 0.00)</f>
        <v/>
      </c>
      <c r="K108" s="11">
        <f>IF(E108="","",ROUND((E108*G108)-IF(H108="",0,H108), 2))</f>
        <v/>
      </c>
      <c r="L108" s="11">
        <f>IF(K108="","",ROUND(K108*(J108/100), 2))</f>
        <v/>
      </c>
      <c r="M108" s="11">
        <f>IF(K108="","",K108+L108)</f>
        <v/>
      </c>
    </row>
    <row r="109">
      <c r="J109" s="10">
        <f>IF(I109="S", 5.00, 0.00)</f>
        <v/>
      </c>
      <c r="K109" s="11">
        <f>IF(E109="","",ROUND((E109*G109)-IF(H109="",0,H109), 2))</f>
        <v/>
      </c>
      <c r="L109" s="11">
        <f>IF(K109="","",ROUND(K109*(J109/100), 2))</f>
        <v/>
      </c>
      <c r="M109" s="11">
        <f>IF(K109="","",K109+L109)</f>
        <v/>
      </c>
    </row>
    <row r="110">
      <c r="J110" s="10">
        <f>IF(I110="S", 5.00, 0.00)</f>
        <v/>
      </c>
      <c r="K110" s="11">
        <f>IF(E110="","",ROUND((E110*G110)-IF(H110="",0,H110), 2))</f>
        <v/>
      </c>
      <c r="L110" s="11">
        <f>IF(K110="","",ROUND(K110*(J110/100), 2))</f>
        <v/>
      </c>
      <c r="M110" s="11">
        <f>IF(K110="","",K110+L110)</f>
        <v/>
      </c>
    </row>
    <row r="111">
      <c r="J111" s="10">
        <f>IF(I111="S", 5.00, 0.00)</f>
        <v/>
      </c>
      <c r="K111" s="11">
        <f>IF(E111="","",ROUND((E111*G111)-IF(H111="",0,H111), 2))</f>
        <v/>
      </c>
      <c r="L111" s="11">
        <f>IF(K111="","",ROUND(K111*(J111/100), 2))</f>
        <v/>
      </c>
      <c r="M111" s="11">
        <f>IF(K111="","",K111+L111)</f>
        <v/>
      </c>
    </row>
    <row r="112">
      <c r="J112" s="10">
        <f>IF(I112="S", 5.00, 0.00)</f>
        <v/>
      </c>
      <c r="K112" s="11">
        <f>IF(E112="","",ROUND((E112*G112)-IF(H112="",0,H112), 2))</f>
        <v/>
      </c>
      <c r="L112" s="11">
        <f>IF(K112="","",ROUND(K112*(J112/100), 2))</f>
        <v/>
      </c>
      <c r="M112" s="11">
        <f>IF(K112="","",K112+L112)</f>
        <v/>
      </c>
    </row>
    <row r="113">
      <c r="J113" s="10">
        <f>IF(I113="S", 5.00, 0.00)</f>
        <v/>
      </c>
      <c r="K113" s="11">
        <f>IF(E113="","",ROUND((E113*G113)-IF(H113="",0,H113), 2))</f>
        <v/>
      </c>
      <c r="L113" s="11">
        <f>IF(K113="","",ROUND(K113*(J113/100), 2))</f>
        <v/>
      </c>
      <c r="M113" s="11">
        <f>IF(K113="","",K113+L113)</f>
        <v/>
      </c>
    </row>
    <row r="114">
      <c r="J114" s="10">
        <f>IF(I114="S", 5.00, 0.00)</f>
        <v/>
      </c>
      <c r="K114" s="11">
        <f>IF(E114="","",ROUND((E114*G114)-IF(H114="",0,H114), 2))</f>
        <v/>
      </c>
      <c r="L114" s="11">
        <f>IF(K114="","",ROUND(K114*(J114/100), 2))</f>
        <v/>
      </c>
      <c r="M114" s="11">
        <f>IF(K114="","",K114+L114)</f>
        <v/>
      </c>
    </row>
    <row r="115">
      <c r="J115" s="10">
        <f>IF(I115="S", 5.00, 0.00)</f>
        <v/>
      </c>
      <c r="K115" s="11">
        <f>IF(E115="","",ROUND((E115*G115)-IF(H115="",0,H115), 2))</f>
        <v/>
      </c>
      <c r="L115" s="11">
        <f>IF(K115="","",ROUND(K115*(J115/100), 2))</f>
        <v/>
      </c>
      <c r="M115" s="11">
        <f>IF(K115="","",K115+L115)</f>
        <v/>
      </c>
    </row>
    <row r="116">
      <c r="J116" s="10">
        <f>IF(I116="S", 5.00, 0.00)</f>
        <v/>
      </c>
      <c r="K116" s="11">
        <f>IF(E116="","",ROUND((E116*G116)-IF(H116="",0,H116), 2))</f>
        <v/>
      </c>
      <c r="L116" s="11">
        <f>IF(K116="","",ROUND(K116*(J116/100), 2))</f>
        <v/>
      </c>
      <c r="M116" s="11">
        <f>IF(K116="","",K116+L116)</f>
        <v/>
      </c>
    </row>
    <row r="117">
      <c r="J117" s="10">
        <f>IF(I117="S", 5.00, 0.00)</f>
        <v/>
      </c>
      <c r="K117" s="11">
        <f>IF(E117="","",ROUND((E117*G117)-IF(H117="",0,H117), 2))</f>
        <v/>
      </c>
      <c r="L117" s="11">
        <f>IF(K117="","",ROUND(K117*(J117/100), 2))</f>
        <v/>
      </c>
      <c r="M117" s="11">
        <f>IF(K117="","",K117+L117)</f>
        <v/>
      </c>
    </row>
    <row r="118">
      <c r="J118" s="10">
        <f>IF(I118="S", 5.00, 0.00)</f>
        <v/>
      </c>
      <c r="K118" s="11">
        <f>IF(E118="","",ROUND((E118*G118)-IF(H118="",0,H118), 2))</f>
        <v/>
      </c>
      <c r="L118" s="11">
        <f>IF(K118="","",ROUND(K118*(J118/100), 2))</f>
        <v/>
      </c>
      <c r="M118" s="11">
        <f>IF(K118="","",K118+L118)</f>
        <v/>
      </c>
    </row>
    <row r="119">
      <c r="J119" s="10">
        <f>IF(I119="S", 5.00, 0.00)</f>
        <v/>
      </c>
      <c r="K119" s="11">
        <f>IF(E119="","",ROUND((E119*G119)-IF(H119="",0,H119), 2))</f>
        <v/>
      </c>
      <c r="L119" s="11">
        <f>IF(K119="","",ROUND(K119*(J119/100), 2))</f>
        <v/>
      </c>
      <c r="M119" s="11">
        <f>IF(K119="","",K119+L119)</f>
        <v/>
      </c>
    </row>
    <row r="120">
      <c r="J120" s="10">
        <f>IF(I120="S", 5.00, 0.00)</f>
        <v/>
      </c>
      <c r="K120" s="11">
        <f>IF(E120="","",ROUND((E120*G120)-IF(H120="",0,H120), 2))</f>
        <v/>
      </c>
      <c r="L120" s="11">
        <f>IF(K120="","",ROUND(K120*(J120/100), 2))</f>
        <v/>
      </c>
      <c r="M120" s="11">
        <f>IF(K120="","",K120+L120)</f>
        <v/>
      </c>
    </row>
    <row r="121">
      <c r="J121" s="10">
        <f>IF(I121="S", 5.00, 0.00)</f>
        <v/>
      </c>
      <c r="K121" s="11">
        <f>IF(E121="","",ROUND((E121*G121)-IF(H121="",0,H121), 2))</f>
        <v/>
      </c>
      <c r="L121" s="11">
        <f>IF(K121="","",ROUND(K121*(J121/100), 2))</f>
        <v/>
      </c>
      <c r="M121" s="11">
        <f>IF(K121="","",K121+L121)</f>
        <v/>
      </c>
    </row>
    <row r="122">
      <c r="J122" s="10">
        <f>IF(I122="S", 5.00, 0.00)</f>
        <v/>
      </c>
      <c r="K122" s="11">
        <f>IF(E122="","",ROUND((E122*G122)-IF(H122="",0,H122), 2))</f>
        <v/>
      </c>
      <c r="L122" s="11">
        <f>IF(K122="","",ROUND(K122*(J122/100), 2))</f>
        <v/>
      </c>
      <c r="M122" s="11">
        <f>IF(K122="","",K122+L122)</f>
        <v/>
      </c>
    </row>
    <row r="123">
      <c r="J123" s="10">
        <f>IF(I123="S", 5.00, 0.00)</f>
        <v/>
      </c>
      <c r="K123" s="11">
        <f>IF(E123="","",ROUND((E123*G123)-IF(H123="",0,H123), 2))</f>
        <v/>
      </c>
      <c r="L123" s="11">
        <f>IF(K123="","",ROUND(K123*(J123/100), 2))</f>
        <v/>
      </c>
      <c r="M123" s="11">
        <f>IF(K123="","",K123+L123)</f>
        <v/>
      </c>
    </row>
    <row r="124">
      <c r="J124" s="10">
        <f>IF(I124="S", 5.00, 0.00)</f>
        <v/>
      </c>
      <c r="K124" s="11">
        <f>IF(E124="","",ROUND((E124*G124)-IF(H124="",0,H124), 2))</f>
        <v/>
      </c>
      <c r="L124" s="11">
        <f>IF(K124="","",ROUND(K124*(J124/100), 2))</f>
        <v/>
      </c>
      <c r="M124" s="11">
        <f>IF(K124="","",K124+L124)</f>
        <v/>
      </c>
    </row>
    <row r="125">
      <c r="J125" s="10">
        <f>IF(I125="S", 5.00, 0.00)</f>
        <v/>
      </c>
      <c r="K125" s="11">
        <f>IF(E125="","",ROUND((E125*G125)-IF(H125="",0,H125), 2))</f>
        <v/>
      </c>
      <c r="L125" s="11">
        <f>IF(K125="","",ROUND(K125*(J125/100), 2))</f>
        <v/>
      </c>
      <c r="M125" s="11">
        <f>IF(K125="","",K125+L125)</f>
        <v/>
      </c>
    </row>
    <row r="126">
      <c r="J126" s="10">
        <f>IF(I126="S", 5.00, 0.00)</f>
        <v/>
      </c>
      <c r="K126" s="11">
        <f>IF(E126="","",ROUND((E126*G126)-IF(H126="",0,H126), 2))</f>
        <v/>
      </c>
      <c r="L126" s="11">
        <f>IF(K126="","",ROUND(K126*(J126/100), 2))</f>
        <v/>
      </c>
      <c r="M126" s="11">
        <f>IF(K126="","",K126+L126)</f>
        <v/>
      </c>
    </row>
    <row r="127">
      <c r="J127" s="10">
        <f>IF(I127="S", 5.00, 0.00)</f>
        <v/>
      </c>
      <c r="K127" s="11">
        <f>IF(E127="","",ROUND((E127*G127)-IF(H127="",0,H127), 2))</f>
        <v/>
      </c>
      <c r="L127" s="11">
        <f>IF(K127="","",ROUND(K127*(J127/100), 2))</f>
        <v/>
      </c>
      <c r="M127" s="11">
        <f>IF(K127="","",K127+L127)</f>
        <v/>
      </c>
    </row>
    <row r="128">
      <c r="J128" s="10">
        <f>IF(I128="S", 5.00, 0.00)</f>
        <v/>
      </c>
      <c r="K128" s="11">
        <f>IF(E128="","",ROUND((E128*G128)-IF(H128="",0,H128), 2))</f>
        <v/>
      </c>
      <c r="L128" s="11">
        <f>IF(K128="","",ROUND(K128*(J128/100), 2))</f>
        <v/>
      </c>
      <c r="M128" s="11">
        <f>IF(K128="","",K128+L128)</f>
        <v/>
      </c>
    </row>
    <row r="129">
      <c r="J129" s="10">
        <f>IF(I129="S", 5.00, 0.00)</f>
        <v/>
      </c>
      <c r="K129" s="11">
        <f>IF(E129="","",ROUND((E129*G129)-IF(H129="",0,H129), 2))</f>
        <v/>
      </c>
      <c r="L129" s="11">
        <f>IF(K129="","",ROUND(K129*(J129/100), 2))</f>
        <v/>
      </c>
      <c r="M129" s="11">
        <f>IF(K129="","",K129+L129)</f>
        <v/>
      </c>
    </row>
    <row r="130">
      <c r="J130" s="10">
        <f>IF(I130="S", 5.00, 0.00)</f>
        <v/>
      </c>
      <c r="K130" s="11">
        <f>IF(E130="","",ROUND((E130*G130)-IF(H130="",0,H130), 2))</f>
        <v/>
      </c>
      <c r="L130" s="11">
        <f>IF(K130="","",ROUND(K130*(J130/100), 2))</f>
        <v/>
      </c>
      <c r="M130" s="11">
        <f>IF(K130="","",K130+L130)</f>
        <v/>
      </c>
    </row>
    <row r="131">
      <c r="J131" s="10">
        <f>IF(I131="S", 5.00, 0.00)</f>
        <v/>
      </c>
      <c r="K131" s="11">
        <f>IF(E131="","",ROUND((E131*G131)-IF(H131="",0,H131), 2))</f>
        <v/>
      </c>
      <c r="L131" s="11">
        <f>IF(K131="","",ROUND(K131*(J131/100), 2))</f>
        <v/>
      </c>
      <c r="M131" s="11">
        <f>IF(K131="","",K131+L131)</f>
        <v/>
      </c>
    </row>
    <row r="132">
      <c r="J132" s="10">
        <f>IF(I132="S", 5.00, 0.00)</f>
        <v/>
      </c>
      <c r="K132" s="11">
        <f>IF(E132="","",ROUND((E132*G132)-IF(H132="",0,H132), 2))</f>
        <v/>
      </c>
      <c r="L132" s="11">
        <f>IF(K132="","",ROUND(K132*(J132/100), 2))</f>
        <v/>
      </c>
      <c r="M132" s="11">
        <f>IF(K132="","",K132+L132)</f>
        <v/>
      </c>
    </row>
    <row r="133">
      <c r="J133" s="10">
        <f>IF(I133="S", 5.00, 0.00)</f>
        <v/>
      </c>
      <c r="K133" s="11">
        <f>IF(E133="","",ROUND((E133*G133)-IF(H133="",0,H133), 2))</f>
        <v/>
      </c>
      <c r="L133" s="11">
        <f>IF(K133="","",ROUND(K133*(J133/100), 2))</f>
        <v/>
      </c>
      <c r="M133" s="11">
        <f>IF(K133="","",K133+L133)</f>
        <v/>
      </c>
    </row>
    <row r="134">
      <c r="J134" s="10">
        <f>IF(I134="S", 5.00, 0.00)</f>
        <v/>
      </c>
      <c r="K134" s="11">
        <f>IF(E134="","",ROUND((E134*G134)-IF(H134="",0,H134), 2))</f>
        <v/>
      </c>
      <c r="L134" s="11">
        <f>IF(K134="","",ROUND(K134*(J134/100), 2))</f>
        <v/>
      </c>
      <c r="M134" s="11">
        <f>IF(K134="","",K134+L134)</f>
        <v/>
      </c>
    </row>
    <row r="135">
      <c r="J135" s="10">
        <f>IF(I135="S", 5.00, 0.00)</f>
        <v/>
      </c>
      <c r="K135" s="11">
        <f>IF(E135="","",ROUND((E135*G135)-IF(H135="",0,H135), 2))</f>
        <v/>
      </c>
      <c r="L135" s="11">
        <f>IF(K135="","",ROUND(K135*(J135/100), 2))</f>
        <v/>
      </c>
      <c r="M135" s="11">
        <f>IF(K135="","",K135+L135)</f>
        <v/>
      </c>
    </row>
    <row r="136">
      <c r="J136" s="10">
        <f>IF(I136="S", 5.00, 0.00)</f>
        <v/>
      </c>
      <c r="K136" s="11">
        <f>IF(E136="","",ROUND((E136*G136)-IF(H136="",0,H136), 2))</f>
        <v/>
      </c>
      <c r="L136" s="11">
        <f>IF(K136="","",ROUND(K136*(J136/100), 2))</f>
        <v/>
      </c>
      <c r="M136" s="11">
        <f>IF(K136="","",K136+L136)</f>
        <v/>
      </c>
    </row>
    <row r="137">
      <c r="J137" s="10">
        <f>IF(I137="S", 5.00, 0.00)</f>
        <v/>
      </c>
      <c r="K137" s="11">
        <f>IF(E137="","",ROUND((E137*G137)-IF(H137="",0,H137), 2))</f>
        <v/>
      </c>
      <c r="L137" s="11">
        <f>IF(K137="","",ROUND(K137*(J137/100), 2))</f>
        <v/>
      </c>
      <c r="M137" s="11">
        <f>IF(K137="","",K137+L137)</f>
        <v/>
      </c>
    </row>
    <row r="138">
      <c r="J138" s="10">
        <f>IF(I138="S", 5.00, 0.00)</f>
        <v/>
      </c>
      <c r="K138" s="11">
        <f>IF(E138="","",ROUND((E138*G138)-IF(H138="",0,H138), 2))</f>
        <v/>
      </c>
      <c r="L138" s="11">
        <f>IF(K138="","",ROUND(K138*(J138/100), 2))</f>
        <v/>
      </c>
      <c r="M138" s="11">
        <f>IF(K138="","",K138+L138)</f>
        <v/>
      </c>
    </row>
    <row r="139">
      <c r="J139" s="10">
        <f>IF(I139="S", 5.00, 0.00)</f>
        <v/>
      </c>
      <c r="K139" s="11">
        <f>IF(E139="","",ROUND((E139*G139)-IF(H139="",0,H139), 2))</f>
        <v/>
      </c>
      <c r="L139" s="11">
        <f>IF(K139="","",ROUND(K139*(J139/100), 2))</f>
        <v/>
      </c>
      <c r="M139" s="11">
        <f>IF(K139="","",K139+L139)</f>
        <v/>
      </c>
    </row>
    <row r="140">
      <c r="J140" s="10">
        <f>IF(I140="S", 5.00, 0.00)</f>
        <v/>
      </c>
      <c r="K140" s="11">
        <f>IF(E140="","",ROUND((E140*G140)-IF(H140="",0,H140), 2))</f>
        <v/>
      </c>
      <c r="L140" s="11">
        <f>IF(K140="","",ROUND(K140*(J140/100), 2))</f>
        <v/>
      </c>
      <c r="M140" s="11">
        <f>IF(K140="","",K140+L140)</f>
        <v/>
      </c>
    </row>
    <row r="141">
      <c r="J141" s="10">
        <f>IF(I141="S", 5.00, 0.00)</f>
        <v/>
      </c>
      <c r="K141" s="11">
        <f>IF(E141="","",ROUND((E141*G141)-IF(H141="",0,H141), 2))</f>
        <v/>
      </c>
      <c r="L141" s="11">
        <f>IF(K141="","",ROUND(K141*(J141/100), 2))</f>
        <v/>
      </c>
      <c r="M141" s="11">
        <f>IF(K141="","",K141+L141)</f>
        <v/>
      </c>
    </row>
    <row r="142">
      <c r="J142" s="10">
        <f>IF(I142="S", 5.00, 0.00)</f>
        <v/>
      </c>
      <c r="K142" s="11">
        <f>IF(E142="","",ROUND((E142*G142)-IF(H142="",0,H142), 2))</f>
        <v/>
      </c>
      <c r="L142" s="11">
        <f>IF(K142="","",ROUND(K142*(J142/100), 2))</f>
        <v/>
      </c>
      <c r="M142" s="11">
        <f>IF(K142="","",K142+L142)</f>
        <v/>
      </c>
    </row>
    <row r="143">
      <c r="J143" s="10">
        <f>IF(I143="S", 5.00, 0.00)</f>
        <v/>
      </c>
      <c r="K143" s="11">
        <f>IF(E143="","",ROUND((E143*G143)-IF(H143="",0,H143), 2))</f>
        <v/>
      </c>
      <c r="L143" s="11">
        <f>IF(K143="","",ROUND(K143*(J143/100), 2))</f>
        <v/>
      </c>
      <c r="M143" s="11">
        <f>IF(K143="","",K143+L143)</f>
        <v/>
      </c>
    </row>
    <row r="144">
      <c r="J144" s="10">
        <f>IF(I144="S", 5.00, 0.00)</f>
        <v/>
      </c>
      <c r="K144" s="11">
        <f>IF(E144="","",ROUND((E144*G144)-IF(H144="",0,H144), 2))</f>
        <v/>
      </c>
      <c r="L144" s="11">
        <f>IF(K144="","",ROUND(K144*(J144/100), 2))</f>
        <v/>
      </c>
      <c r="M144" s="11">
        <f>IF(K144="","",K144+L144)</f>
        <v/>
      </c>
    </row>
    <row r="145">
      <c r="J145" s="10">
        <f>IF(I145="S", 5.00, 0.00)</f>
        <v/>
      </c>
      <c r="K145" s="11">
        <f>IF(E145="","",ROUND((E145*G145)-IF(H145="",0,H145), 2))</f>
        <v/>
      </c>
      <c r="L145" s="11">
        <f>IF(K145="","",ROUND(K145*(J145/100), 2))</f>
        <v/>
      </c>
      <c r="M145" s="11">
        <f>IF(K145="","",K145+L145)</f>
        <v/>
      </c>
    </row>
    <row r="146">
      <c r="J146" s="10">
        <f>IF(I146="S", 5.00, 0.00)</f>
        <v/>
      </c>
      <c r="K146" s="11">
        <f>IF(E146="","",ROUND((E146*G146)-IF(H146="",0,H146), 2))</f>
        <v/>
      </c>
      <c r="L146" s="11">
        <f>IF(K146="","",ROUND(K146*(J146/100), 2))</f>
        <v/>
      </c>
      <c r="M146" s="11">
        <f>IF(K146="","",K146+L146)</f>
        <v/>
      </c>
    </row>
    <row r="147">
      <c r="J147" s="10">
        <f>IF(I147="S", 5.00, 0.00)</f>
        <v/>
      </c>
      <c r="K147" s="11">
        <f>IF(E147="","",ROUND((E147*G147)-IF(H147="",0,H147), 2))</f>
        <v/>
      </c>
      <c r="L147" s="11">
        <f>IF(K147="","",ROUND(K147*(J147/100), 2))</f>
        <v/>
      </c>
      <c r="M147" s="11">
        <f>IF(K147="","",K147+L147)</f>
        <v/>
      </c>
    </row>
    <row r="148">
      <c r="J148" s="10">
        <f>IF(I148="S", 5.00, 0.00)</f>
        <v/>
      </c>
      <c r="K148" s="11">
        <f>IF(E148="","",ROUND((E148*G148)-IF(H148="",0,H148), 2))</f>
        <v/>
      </c>
      <c r="L148" s="11">
        <f>IF(K148="","",ROUND(K148*(J148/100), 2))</f>
        <v/>
      </c>
      <c r="M148" s="11">
        <f>IF(K148="","",K148+L148)</f>
        <v/>
      </c>
    </row>
    <row r="149">
      <c r="J149" s="10">
        <f>IF(I149="S", 5.00, 0.00)</f>
        <v/>
      </c>
      <c r="K149" s="11">
        <f>IF(E149="","",ROUND((E149*G149)-IF(H149="",0,H149), 2))</f>
        <v/>
      </c>
      <c r="L149" s="11">
        <f>IF(K149="","",ROUND(K149*(J149/100), 2))</f>
        <v/>
      </c>
      <c r="M149" s="11">
        <f>IF(K149="","",K149+L149)</f>
        <v/>
      </c>
    </row>
    <row r="150">
      <c r="J150" s="10">
        <f>IF(I150="S", 5.00, 0.00)</f>
        <v/>
      </c>
      <c r="K150" s="11">
        <f>IF(E150="","",ROUND((E150*G150)-IF(H150="",0,H150), 2))</f>
        <v/>
      </c>
      <c r="L150" s="11">
        <f>IF(K150="","",ROUND(K150*(J150/100), 2))</f>
        <v/>
      </c>
      <c r="M150" s="11">
        <f>IF(K150="","",K150+L150)</f>
        <v/>
      </c>
    </row>
    <row r="151">
      <c r="J151" s="10">
        <f>IF(I151="S", 5.00, 0.00)</f>
        <v/>
      </c>
      <c r="K151" s="11">
        <f>IF(E151="","",ROUND((E151*G151)-IF(H151="",0,H151), 2))</f>
        <v/>
      </c>
      <c r="L151" s="11">
        <f>IF(K151="","",ROUND(K151*(J151/100), 2))</f>
        <v/>
      </c>
      <c r="M151" s="11">
        <f>IF(K151="","",K151+L151)</f>
        <v/>
      </c>
    </row>
    <row r="152">
      <c r="J152" s="10">
        <f>IF(I152="S", 5.00, 0.00)</f>
        <v/>
      </c>
      <c r="K152" s="11">
        <f>IF(E152="","",ROUND((E152*G152)-IF(H152="",0,H152), 2))</f>
        <v/>
      </c>
      <c r="L152" s="11">
        <f>IF(K152="","",ROUND(K152*(J152/100), 2))</f>
        <v/>
      </c>
      <c r="M152" s="11">
        <f>IF(K152="","",K152+L152)</f>
        <v/>
      </c>
    </row>
    <row r="153">
      <c r="J153" s="10">
        <f>IF(I153="S", 5.00, 0.00)</f>
        <v/>
      </c>
      <c r="K153" s="11">
        <f>IF(E153="","",ROUND((E153*G153)-IF(H153="",0,H153), 2))</f>
        <v/>
      </c>
      <c r="L153" s="11">
        <f>IF(K153="","",ROUND(K153*(J153/100), 2))</f>
        <v/>
      </c>
      <c r="M153" s="11">
        <f>IF(K153="","",K153+L153)</f>
        <v/>
      </c>
    </row>
    <row r="154">
      <c r="J154" s="10">
        <f>IF(I154="S", 5.00, 0.00)</f>
        <v/>
      </c>
      <c r="K154" s="11">
        <f>IF(E154="","",ROUND((E154*G154)-IF(H154="",0,H154), 2))</f>
        <v/>
      </c>
      <c r="L154" s="11">
        <f>IF(K154="","",ROUND(K154*(J154/100), 2))</f>
        <v/>
      </c>
      <c r="M154" s="11">
        <f>IF(K154="","",K154+L154)</f>
        <v/>
      </c>
    </row>
    <row r="155">
      <c r="J155" s="10">
        <f>IF(I155="S", 5.00, 0.00)</f>
        <v/>
      </c>
      <c r="K155" s="11">
        <f>IF(E155="","",ROUND((E155*G155)-IF(H155="",0,H155), 2))</f>
        <v/>
      </c>
      <c r="L155" s="11">
        <f>IF(K155="","",ROUND(K155*(J155/100), 2))</f>
        <v/>
      </c>
      <c r="M155" s="11">
        <f>IF(K155="","",K155+L155)</f>
        <v/>
      </c>
    </row>
    <row r="156">
      <c r="J156" s="10">
        <f>IF(I156="S", 5.00, 0.00)</f>
        <v/>
      </c>
      <c r="K156" s="11">
        <f>IF(E156="","",ROUND((E156*G156)-IF(H156="",0,H156), 2))</f>
        <v/>
      </c>
      <c r="L156" s="11">
        <f>IF(K156="","",ROUND(K156*(J156/100), 2))</f>
        <v/>
      </c>
      <c r="M156" s="11">
        <f>IF(K156="","",K156+L156)</f>
        <v/>
      </c>
    </row>
    <row r="157">
      <c r="J157" s="10">
        <f>IF(I157="S", 5.00, 0.00)</f>
        <v/>
      </c>
      <c r="K157" s="11">
        <f>IF(E157="","",ROUND((E157*G157)-IF(H157="",0,H157), 2))</f>
        <v/>
      </c>
      <c r="L157" s="11">
        <f>IF(K157="","",ROUND(K157*(J157/100), 2))</f>
        <v/>
      </c>
      <c r="M157" s="11">
        <f>IF(K157="","",K157+L157)</f>
        <v/>
      </c>
    </row>
    <row r="158">
      <c r="J158" s="10">
        <f>IF(I158="S", 5.00, 0.00)</f>
        <v/>
      </c>
      <c r="K158" s="11">
        <f>IF(E158="","",ROUND((E158*G158)-IF(H158="",0,H158), 2))</f>
        <v/>
      </c>
      <c r="L158" s="11">
        <f>IF(K158="","",ROUND(K158*(J158/100), 2))</f>
        <v/>
      </c>
      <c r="M158" s="11">
        <f>IF(K158="","",K158+L158)</f>
        <v/>
      </c>
    </row>
    <row r="159">
      <c r="J159" s="10">
        <f>IF(I159="S", 5.00, 0.00)</f>
        <v/>
      </c>
      <c r="K159" s="11">
        <f>IF(E159="","",ROUND((E159*G159)-IF(H159="",0,H159), 2))</f>
        <v/>
      </c>
      <c r="L159" s="11">
        <f>IF(K159="","",ROUND(K159*(J159/100), 2))</f>
        <v/>
      </c>
      <c r="M159" s="11">
        <f>IF(K159="","",K159+L159)</f>
        <v/>
      </c>
    </row>
    <row r="160">
      <c r="J160" s="10">
        <f>IF(I160="S", 5.00, 0.00)</f>
        <v/>
      </c>
      <c r="K160" s="11">
        <f>IF(E160="","",ROUND((E160*G160)-IF(H160="",0,H160), 2))</f>
        <v/>
      </c>
      <c r="L160" s="11">
        <f>IF(K160="","",ROUND(K160*(J160/100), 2))</f>
        <v/>
      </c>
      <c r="M160" s="11">
        <f>IF(K160="","",K160+L160)</f>
        <v/>
      </c>
    </row>
    <row r="161">
      <c r="J161" s="10">
        <f>IF(I161="S", 5.00, 0.00)</f>
        <v/>
      </c>
      <c r="K161" s="11">
        <f>IF(E161="","",ROUND((E161*G161)-IF(H161="",0,H161), 2))</f>
        <v/>
      </c>
      <c r="L161" s="11">
        <f>IF(K161="","",ROUND(K161*(J161/100), 2))</f>
        <v/>
      </c>
      <c r="M161" s="11">
        <f>IF(K161="","",K161+L161)</f>
        <v/>
      </c>
    </row>
    <row r="162">
      <c r="J162" s="10">
        <f>IF(I162="S", 5.00, 0.00)</f>
        <v/>
      </c>
      <c r="K162" s="11">
        <f>IF(E162="","",ROUND((E162*G162)-IF(H162="",0,H162), 2))</f>
        <v/>
      </c>
      <c r="L162" s="11">
        <f>IF(K162="","",ROUND(K162*(J162/100), 2))</f>
        <v/>
      </c>
      <c r="M162" s="11">
        <f>IF(K162="","",K162+L162)</f>
        <v/>
      </c>
    </row>
    <row r="163">
      <c r="J163" s="10">
        <f>IF(I163="S", 5.00, 0.00)</f>
        <v/>
      </c>
      <c r="K163" s="11">
        <f>IF(E163="","",ROUND((E163*G163)-IF(H163="",0,H163), 2))</f>
        <v/>
      </c>
      <c r="L163" s="11">
        <f>IF(K163="","",ROUND(K163*(J163/100), 2))</f>
        <v/>
      </c>
      <c r="M163" s="11">
        <f>IF(K163="","",K163+L163)</f>
        <v/>
      </c>
    </row>
    <row r="164">
      <c r="J164" s="10">
        <f>IF(I164="S", 5.00, 0.00)</f>
        <v/>
      </c>
      <c r="K164" s="11">
        <f>IF(E164="","",ROUND((E164*G164)-IF(H164="",0,H164), 2))</f>
        <v/>
      </c>
      <c r="L164" s="11">
        <f>IF(K164="","",ROUND(K164*(J164/100), 2))</f>
        <v/>
      </c>
      <c r="M164" s="11">
        <f>IF(K164="","",K164+L164)</f>
        <v/>
      </c>
    </row>
    <row r="165">
      <c r="J165" s="10">
        <f>IF(I165="S", 5.00, 0.00)</f>
        <v/>
      </c>
      <c r="K165" s="11">
        <f>IF(E165="","",ROUND((E165*G165)-IF(H165="",0,H165), 2))</f>
        <v/>
      </c>
      <c r="L165" s="11">
        <f>IF(K165="","",ROUND(K165*(J165/100), 2))</f>
        <v/>
      </c>
      <c r="M165" s="11">
        <f>IF(K165="","",K165+L165)</f>
        <v/>
      </c>
    </row>
    <row r="166">
      <c r="J166" s="10">
        <f>IF(I166="S", 5.00, 0.00)</f>
        <v/>
      </c>
      <c r="K166" s="11">
        <f>IF(E166="","",ROUND((E166*G166)-IF(H166="",0,H166), 2))</f>
        <v/>
      </c>
      <c r="L166" s="11">
        <f>IF(K166="","",ROUND(K166*(J166/100), 2))</f>
        <v/>
      </c>
      <c r="M166" s="11">
        <f>IF(K166="","",K166+L166)</f>
        <v/>
      </c>
    </row>
    <row r="167">
      <c r="J167" s="10">
        <f>IF(I167="S", 5.00, 0.00)</f>
        <v/>
      </c>
      <c r="K167" s="11">
        <f>IF(E167="","",ROUND((E167*G167)-IF(H167="",0,H167), 2))</f>
        <v/>
      </c>
      <c r="L167" s="11">
        <f>IF(K167="","",ROUND(K167*(J167/100), 2))</f>
        <v/>
      </c>
      <c r="M167" s="11">
        <f>IF(K167="","",K167+L167)</f>
        <v/>
      </c>
    </row>
    <row r="168">
      <c r="J168" s="10">
        <f>IF(I168="S", 5.00, 0.00)</f>
        <v/>
      </c>
      <c r="K168" s="11">
        <f>IF(E168="","",ROUND((E168*G168)-IF(H168="",0,H168), 2))</f>
        <v/>
      </c>
      <c r="L168" s="11">
        <f>IF(K168="","",ROUND(K168*(J168/100), 2))</f>
        <v/>
      </c>
      <c r="M168" s="11">
        <f>IF(K168="","",K168+L168)</f>
        <v/>
      </c>
    </row>
    <row r="169">
      <c r="J169" s="10">
        <f>IF(I169="S", 5.00, 0.00)</f>
        <v/>
      </c>
      <c r="K169" s="11">
        <f>IF(E169="","",ROUND((E169*G169)-IF(H169="",0,H169), 2))</f>
        <v/>
      </c>
      <c r="L169" s="11">
        <f>IF(K169="","",ROUND(K169*(J169/100), 2))</f>
        <v/>
      </c>
      <c r="M169" s="11">
        <f>IF(K169="","",K169+L169)</f>
        <v/>
      </c>
    </row>
    <row r="170">
      <c r="J170" s="10">
        <f>IF(I170="S", 5.00, 0.00)</f>
        <v/>
      </c>
      <c r="K170" s="11">
        <f>IF(E170="","",ROUND((E170*G170)-IF(H170="",0,H170), 2))</f>
        <v/>
      </c>
      <c r="L170" s="11">
        <f>IF(K170="","",ROUND(K170*(J170/100), 2))</f>
        <v/>
      </c>
      <c r="M170" s="11">
        <f>IF(K170="","",K170+L170)</f>
        <v/>
      </c>
    </row>
    <row r="171">
      <c r="J171" s="10">
        <f>IF(I171="S", 5.00, 0.00)</f>
        <v/>
      </c>
      <c r="K171" s="11">
        <f>IF(E171="","",ROUND((E171*G171)-IF(H171="",0,H171), 2))</f>
        <v/>
      </c>
      <c r="L171" s="11">
        <f>IF(K171="","",ROUND(K171*(J171/100), 2))</f>
        <v/>
      </c>
      <c r="M171" s="11">
        <f>IF(K171="","",K171+L171)</f>
        <v/>
      </c>
    </row>
    <row r="172">
      <c r="J172" s="10">
        <f>IF(I172="S", 5.00, 0.00)</f>
        <v/>
      </c>
      <c r="K172" s="11">
        <f>IF(E172="","",ROUND((E172*G172)-IF(H172="",0,H172), 2))</f>
        <v/>
      </c>
      <c r="L172" s="11">
        <f>IF(K172="","",ROUND(K172*(J172/100), 2))</f>
        <v/>
      </c>
      <c r="M172" s="11">
        <f>IF(K172="","",K172+L172)</f>
        <v/>
      </c>
    </row>
    <row r="173">
      <c r="J173" s="10">
        <f>IF(I173="S", 5.00, 0.00)</f>
        <v/>
      </c>
      <c r="K173" s="11">
        <f>IF(E173="","",ROUND((E173*G173)-IF(H173="",0,H173), 2))</f>
        <v/>
      </c>
      <c r="L173" s="11">
        <f>IF(K173="","",ROUND(K173*(J173/100), 2))</f>
        <v/>
      </c>
      <c r="M173" s="11">
        <f>IF(K173="","",K173+L173)</f>
        <v/>
      </c>
    </row>
    <row r="174">
      <c r="J174" s="10">
        <f>IF(I174="S", 5.00, 0.00)</f>
        <v/>
      </c>
      <c r="K174" s="11">
        <f>IF(E174="","",ROUND((E174*G174)-IF(H174="",0,H174), 2))</f>
        <v/>
      </c>
      <c r="L174" s="11">
        <f>IF(K174="","",ROUND(K174*(J174/100), 2))</f>
        <v/>
      </c>
      <c r="M174" s="11">
        <f>IF(K174="","",K174+L174)</f>
        <v/>
      </c>
    </row>
    <row r="175">
      <c r="J175" s="10">
        <f>IF(I175="S", 5.00, 0.00)</f>
        <v/>
      </c>
      <c r="K175" s="11">
        <f>IF(E175="","",ROUND((E175*G175)-IF(H175="",0,H175), 2))</f>
        <v/>
      </c>
      <c r="L175" s="11">
        <f>IF(K175="","",ROUND(K175*(J175/100), 2))</f>
        <v/>
      </c>
      <c r="M175" s="11">
        <f>IF(K175="","",K175+L175)</f>
        <v/>
      </c>
    </row>
    <row r="176">
      <c r="J176" s="10">
        <f>IF(I176="S", 5.00, 0.00)</f>
        <v/>
      </c>
      <c r="K176" s="11">
        <f>IF(E176="","",ROUND((E176*G176)-IF(H176="",0,H176), 2))</f>
        <v/>
      </c>
      <c r="L176" s="11">
        <f>IF(K176="","",ROUND(K176*(J176/100), 2))</f>
        <v/>
      </c>
      <c r="M176" s="11">
        <f>IF(K176="","",K176+L176)</f>
        <v/>
      </c>
    </row>
    <row r="177">
      <c r="J177" s="10">
        <f>IF(I177="S", 5.00, 0.00)</f>
        <v/>
      </c>
      <c r="K177" s="11">
        <f>IF(E177="","",ROUND((E177*G177)-IF(H177="",0,H177), 2))</f>
        <v/>
      </c>
      <c r="L177" s="11">
        <f>IF(K177="","",ROUND(K177*(J177/100), 2))</f>
        <v/>
      </c>
      <c r="M177" s="11">
        <f>IF(K177="","",K177+L177)</f>
        <v/>
      </c>
    </row>
    <row r="178">
      <c r="J178" s="10">
        <f>IF(I178="S", 5.00, 0.00)</f>
        <v/>
      </c>
      <c r="K178" s="11">
        <f>IF(E178="","",ROUND((E178*G178)-IF(H178="",0,H178), 2))</f>
        <v/>
      </c>
      <c r="L178" s="11">
        <f>IF(K178="","",ROUND(K178*(J178/100), 2))</f>
        <v/>
      </c>
      <c r="M178" s="11">
        <f>IF(K178="","",K178+L178)</f>
        <v/>
      </c>
    </row>
    <row r="179">
      <c r="J179" s="10">
        <f>IF(I179="S", 5.00, 0.00)</f>
        <v/>
      </c>
      <c r="K179" s="11">
        <f>IF(E179="","",ROUND((E179*G179)-IF(H179="",0,H179), 2))</f>
        <v/>
      </c>
      <c r="L179" s="11">
        <f>IF(K179="","",ROUND(K179*(J179/100), 2))</f>
        <v/>
      </c>
      <c r="M179" s="11">
        <f>IF(K179="","",K179+L179)</f>
        <v/>
      </c>
    </row>
    <row r="180">
      <c r="J180" s="10">
        <f>IF(I180="S", 5.00, 0.00)</f>
        <v/>
      </c>
      <c r="K180" s="11">
        <f>IF(E180="","",ROUND((E180*G180)-IF(H180="",0,H180), 2))</f>
        <v/>
      </c>
      <c r="L180" s="11">
        <f>IF(K180="","",ROUND(K180*(J180/100), 2))</f>
        <v/>
      </c>
      <c r="M180" s="11">
        <f>IF(K180="","",K180+L180)</f>
        <v/>
      </c>
    </row>
    <row r="181">
      <c r="J181" s="10">
        <f>IF(I181="S", 5.00, 0.00)</f>
        <v/>
      </c>
      <c r="K181" s="11">
        <f>IF(E181="","",ROUND((E181*G181)-IF(H181="",0,H181), 2))</f>
        <v/>
      </c>
      <c r="L181" s="11">
        <f>IF(K181="","",ROUND(K181*(J181/100), 2))</f>
        <v/>
      </c>
      <c r="M181" s="11">
        <f>IF(K181="","",K181+L181)</f>
        <v/>
      </c>
    </row>
    <row r="182">
      <c r="J182" s="10">
        <f>IF(I182="S", 5.00, 0.00)</f>
        <v/>
      </c>
      <c r="K182" s="11">
        <f>IF(E182="","",ROUND((E182*G182)-IF(H182="",0,H182), 2))</f>
        <v/>
      </c>
      <c r="L182" s="11">
        <f>IF(K182="","",ROUND(K182*(J182/100), 2))</f>
        <v/>
      </c>
      <c r="M182" s="11">
        <f>IF(K182="","",K182+L182)</f>
        <v/>
      </c>
    </row>
    <row r="183">
      <c r="J183" s="10">
        <f>IF(I183="S", 5.00, 0.00)</f>
        <v/>
      </c>
      <c r="K183" s="11">
        <f>IF(E183="","",ROUND((E183*G183)-IF(H183="",0,H183), 2))</f>
        <v/>
      </c>
      <c r="L183" s="11">
        <f>IF(K183="","",ROUND(K183*(J183/100), 2))</f>
        <v/>
      </c>
      <c r="M183" s="11">
        <f>IF(K183="","",K183+L183)</f>
        <v/>
      </c>
    </row>
    <row r="184">
      <c r="J184" s="10">
        <f>IF(I184="S", 5.00, 0.00)</f>
        <v/>
      </c>
      <c r="K184" s="11">
        <f>IF(E184="","",ROUND((E184*G184)-IF(H184="",0,H184), 2))</f>
        <v/>
      </c>
      <c r="L184" s="11">
        <f>IF(K184="","",ROUND(K184*(J184/100), 2))</f>
        <v/>
      </c>
      <c r="M184" s="11">
        <f>IF(K184="","",K184+L184)</f>
        <v/>
      </c>
    </row>
    <row r="185">
      <c r="J185" s="10">
        <f>IF(I185="S", 5.00, 0.00)</f>
        <v/>
      </c>
      <c r="K185" s="11">
        <f>IF(E185="","",ROUND((E185*G185)-IF(H185="",0,H185), 2))</f>
        <v/>
      </c>
      <c r="L185" s="11">
        <f>IF(K185="","",ROUND(K185*(J185/100), 2))</f>
        <v/>
      </c>
      <c r="M185" s="11">
        <f>IF(K185="","",K185+L185)</f>
        <v/>
      </c>
    </row>
    <row r="186">
      <c r="J186" s="10">
        <f>IF(I186="S", 5.00, 0.00)</f>
        <v/>
      </c>
      <c r="K186" s="11">
        <f>IF(E186="","",ROUND((E186*G186)-IF(H186="",0,H186), 2))</f>
        <v/>
      </c>
      <c r="L186" s="11">
        <f>IF(K186="","",ROUND(K186*(J186/100), 2))</f>
        <v/>
      </c>
      <c r="M186" s="11">
        <f>IF(K186="","",K186+L186)</f>
        <v/>
      </c>
    </row>
    <row r="187">
      <c r="J187" s="10">
        <f>IF(I187="S", 5.00, 0.00)</f>
        <v/>
      </c>
      <c r="K187" s="11">
        <f>IF(E187="","",ROUND((E187*G187)-IF(H187="",0,H187), 2))</f>
        <v/>
      </c>
      <c r="L187" s="11">
        <f>IF(K187="","",ROUND(K187*(J187/100), 2))</f>
        <v/>
      </c>
      <c r="M187" s="11">
        <f>IF(K187="","",K187+L187)</f>
        <v/>
      </c>
    </row>
    <row r="188">
      <c r="J188" s="10">
        <f>IF(I188="S", 5.00, 0.00)</f>
        <v/>
      </c>
      <c r="K188" s="11">
        <f>IF(E188="","",ROUND((E188*G188)-IF(H188="",0,H188), 2))</f>
        <v/>
      </c>
      <c r="L188" s="11">
        <f>IF(K188="","",ROUND(K188*(J188/100), 2))</f>
        <v/>
      </c>
      <c r="M188" s="11">
        <f>IF(K188="","",K188+L188)</f>
        <v/>
      </c>
    </row>
    <row r="189">
      <c r="J189" s="10">
        <f>IF(I189="S", 5.00, 0.00)</f>
        <v/>
      </c>
      <c r="K189" s="11">
        <f>IF(E189="","",ROUND((E189*G189)-IF(H189="",0,H189), 2))</f>
        <v/>
      </c>
      <c r="L189" s="11">
        <f>IF(K189="","",ROUND(K189*(J189/100), 2))</f>
        <v/>
      </c>
      <c r="M189" s="11">
        <f>IF(K189="","",K189+L189)</f>
        <v/>
      </c>
    </row>
    <row r="190">
      <c r="J190" s="10">
        <f>IF(I190="S", 5.00, 0.00)</f>
        <v/>
      </c>
      <c r="K190" s="11">
        <f>IF(E190="","",ROUND((E190*G190)-IF(H190="",0,H190), 2))</f>
        <v/>
      </c>
      <c r="L190" s="11">
        <f>IF(K190="","",ROUND(K190*(J190/100), 2))</f>
        <v/>
      </c>
      <c r="M190" s="11">
        <f>IF(K190="","",K190+L190)</f>
        <v/>
      </c>
    </row>
    <row r="191">
      <c r="J191" s="10">
        <f>IF(I191="S", 5.00, 0.00)</f>
        <v/>
      </c>
      <c r="K191" s="11">
        <f>IF(E191="","",ROUND((E191*G191)-IF(H191="",0,H191), 2))</f>
        <v/>
      </c>
      <c r="L191" s="11">
        <f>IF(K191="","",ROUND(K191*(J191/100), 2))</f>
        <v/>
      </c>
      <c r="M191" s="11">
        <f>IF(K191="","",K191+L191)</f>
        <v/>
      </c>
    </row>
    <row r="192">
      <c r="J192" s="10">
        <f>IF(I192="S", 5.00, 0.00)</f>
        <v/>
      </c>
      <c r="K192" s="11">
        <f>IF(E192="","",ROUND((E192*G192)-IF(H192="",0,H192), 2))</f>
        <v/>
      </c>
      <c r="L192" s="11">
        <f>IF(K192="","",ROUND(K192*(J192/100), 2))</f>
        <v/>
      </c>
      <c r="M192" s="11">
        <f>IF(K192="","",K192+L192)</f>
        <v/>
      </c>
    </row>
    <row r="193">
      <c r="J193" s="10">
        <f>IF(I193="S", 5.00, 0.00)</f>
        <v/>
      </c>
      <c r="K193" s="11">
        <f>IF(E193="","",ROUND((E193*G193)-IF(H193="",0,H193), 2))</f>
        <v/>
      </c>
      <c r="L193" s="11">
        <f>IF(K193="","",ROUND(K193*(J193/100), 2))</f>
        <v/>
      </c>
      <c r="M193" s="11">
        <f>IF(K193="","",K193+L193)</f>
        <v/>
      </c>
    </row>
    <row r="194">
      <c r="J194" s="10">
        <f>IF(I194="S", 5.00, 0.00)</f>
        <v/>
      </c>
      <c r="K194" s="11">
        <f>IF(E194="","",ROUND((E194*G194)-IF(H194="",0,H194), 2))</f>
        <v/>
      </c>
      <c r="L194" s="11">
        <f>IF(K194="","",ROUND(K194*(J194/100), 2))</f>
        <v/>
      </c>
      <c r="M194" s="11">
        <f>IF(K194="","",K194+L194)</f>
        <v/>
      </c>
    </row>
    <row r="195">
      <c r="J195" s="10">
        <f>IF(I195="S", 5.00, 0.00)</f>
        <v/>
      </c>
      <c r="K195" s="11">
        <f>IF(E195="","",ROUND((E195*G195)-IF(H195="",0,H195), 2))</f>
        <v/>
      </c>
      <c r="L195" s="11">
        <f>IF(K195="","",ROUND(K195*(J195/100), 2))</f>
        <v/>
      </c>
      <c r="M195" s="11">
        <f>IF(K195="","",K195+L195)</f>
        <v/>
      </c>
    </row>
    <row r="196">
      <c r="J196" s="10">
        <f>IF(I196="S", 5.00, 0.00)</f>
        <v/>
      </c>
      <c r="K196" s="11">
        <f>IF(E196="","",ROUND((E196*G196)-IF(H196="",0,H196), 2))</f>
        <v/>
      </c>
      <c r="L196" s="11">
        <f>IF(K196="","",ROUND(K196*(J196/100), 2))</f>
        <v/>
      </c>
      <c r="M196" s="11">
        <f>IF(K196="","",K196+L196)</f>
        <v/>
      </c>
    </row>
    <row r="197">
      <c r="J197" s="10">
        <f>IF(I197="S", 5.00, 0.00)</f>
        <v/>
      </c>
      <c r="K197" s="11">
        <f>IF(E197="","",ROUND((E197*G197)-IF(H197="",0,H197), 2))</f>
        <v/>
      </c>
      <c r="L197" s="11">
        <f>IF(K197="","",ROUND(K197*(J197/100), 2))</f>
        <v/>
      </c>
      <c r="M197" s="11">
        <f>IF(K197="","",K197+L197)</f>
        <v/>
      </c>
    </row>
    <row r="198">
      <c r="J198" s="10">
        <f>IF(I198="S", 5.00, 0.00)</f>
        <v/>
      </c>
      <c r="K198" s="11">
        <f>IF(E198="","",ROUND((E198*G198)-IF(H198="",0,H198), 2))</f>
        <v/>
      </c>
      <c r="L198" s="11">
        <f>IF(K198="","",ROUND(K198*(J198/100), 2))</f>
        <v/>
      </c>
      <c r="M198" s="11">
        <f>IF(K198="","",K198+L198)</f>
        <v/>
      </c>
    </row>
    <row r="199">
      <c r="J199" s="10">
        <f>IF(I199="S", 5.00, 0.00)</f>
        <v/>
      </c>
      <c r="K199" s="11">
        <f>IF(E199="","",ROUND((E199*G199)-IF(H199="",0,H199), 2))</f>
        <v/>
      </c>
      <c r="L199" s="11">
        <f>IF(K199="","",ROUND(K199*(J199/100), 2))</f>
        <v/>
      </c>
      <c r="M199" s="11">
        <f>IF(K199="","",K199+L199)</f>
        <v/>
      </c>
    </row>
  </sheetData>
  <dataValidations count="2">
    <dataValidation sqref="F2:F500" showDropDown="0" showInputMessage="0" showErrorMessage="0" allowBlank="1" type="list">
      <formula1>Ref_Lookups!$H$2:$H$6</formula1>
    </dataValidation>
    <dataValidation sqref="I2:I500" showDropDown="0" showInputMessage="0" showErrorMessage="0" allowBlank="1" type="list">
      <formula1>Ref_Lookups!$C$2:$C$5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2026-08-09T09:56:00Z</dcterms:created>
  <dcterms:modified xmlns:dcterms="http://purl.org/dc/terms/" xmlns:xsi="http://www.w3.org/2001/XMLSchema-instance" xsi:type="dcterms:W3CDTF">2026-08-09T09:56:00Z</dcterms:modified>
</cp:coreProperties>
</file>